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🏅 Dashboard" sheetId="1" r:id="rId5"/>
    <sheet state="visible" name="TESTS" sheetId="2" r:id="rId6"/>
    <sheet state="visible" name="Week 1" sheetId="3" r:id="rId7"/>
    <sheet state="visible" name="Week 2" sheetId="4" r:id="rId8"/>
    <sheet state="visible" name="Week 3" sheetId="5" r:id="rId9"/>
    <sheet state="visible" name="Week 4" sheetId="6" r:id="rId10"/>
    <sheet state="visible" name="Conversions" sheetId="7" r:id="rId11"/>
  </sheets>
  <definedNames/>
  <calcPr/>
</workbook>
</file>

<file path=xl/sharedStrings.xml><?xml version="1.0" encoding="utf-8"?>
<sst xmlns="http://schemas.openxmlformats.org/spreadsheetml/2006/main" count="827" uniqueCount="364">
  <si>
    <t>TESTS</t>
  </si>
  <si>
    <t>LOSE FAT • KEMI • PROGRAMME 12 SEMAINES</t>
  </si>
  <si>
    <t xml:space="preserve">Ma partie à ne pas modifier </t>
  </si>
  <si>
    <t>Charges</t>
  </si>
  <si>
    <t>PROFIL — KEMI</t>
  </si>
  <si>
    <t>Répétitions</t>
  </si>
  <si>
    <t xml:space="preserve"> Temps de repos</t>
  </si>
  <si>
    <t>Charges/Allures (LBS)</t>
  </si>
  <si>
    <t>BACK SQUAT</t>
  </si>
  <si>
    <t>Prénom</t>
  </si>
  <si>
    <t>Exercice</t>
  </si>
  <si>
    <t>KEMI</t>
  </si>
  <si>
    <t>Séries x reps</t>
  </si>
  <si>
    <t>Effort / Temps de repos</t>
  </si>
  <si>
    <t>Charges/Allures</t>
  </si>
  <si>
    <t xml:space="preserve">Conseils / Consignes </t>
  </si>
  <si>
    <t>Tes commentaires</t>
  </si>
  <si>
    <t>Date de début programme</t>
  </si>
  <si>
    <t>21/09/2026</t>
  </si>
  <si>
    <t>Niveau</t>
  </si>
  <si>
    <t>Débutant</t>
  </si>
  <si>
    <t>Jour 1</t>
  </si>
  <si>
    <t>Calories</t>
  </si>
  <si>
    <t>1600 kcal</t>
  </si>
  <si>
    <t>Warm Up</t>
  </si>
  <si>
    <t>INPUTS FORCE — KEMI — Entrer tes 1RM estimés (en kg)</t>
  </si>
  <si>
    <t>Vélo</t>
  </si>
  <si>
    <t xml:space="preserve">5 min </t>
  </si>
  <si>
    <t>Exercices</t>
  </si>
  <si>
    <t>Glutes bridges</t>
  </si>
  <si>
    <t>1RM (kg)</t>
  </si>
  <si>
    <t>50%</t>
  </si>
  <si>
    <t>60%</t>
  </si>
  <si>
    <t xml:space="preserve">RESPECTER LES TEMPS DE REPOS </t>
  </si>
  <si>
    <t>70%</t>
  </si>
  <si>
    <t>75%</t>
  </si>
  <si>
    <t>80%</t>
  </si>
  <si>
    <t>85%</t>
  </si>
  <si>
    <t>Hip Thrust 1RM (kg)</t>
  </si>
  <si>
    <t>Serie 1</t>
  </si>
  <si>
    <t>Quadriceps Stretch</t>
  </si>
  <si>
    <t>Barre seule (20kg)</t>
  </si>
  <si>
    <t>2min</t>
  </si>
  <si>
    <t>2x 30 sec/jambe</t>
  </si>
  <si>
    <t>Squats</t>
  </si>
  <si>
    <t>2x10</t>
  </si>
  <si>
    <t>Hip openers</t>
  </si>
  <si>
    <t>Serie 2</t>
  </si>
  <si>
    <t>30 kg = Barre + 2 disques de 5kg de chaque</t>
  </si>
  <si>
    <t>10/jambe</t>
  </si>
  <si>
    <t>Serie 3</t>
  </si>
  <si>
    <t>37,5kg</t>
  </si>
  <si>
    <t>Full Body - Lower Focus</t>
  </si>
  <si>
    <t>Serie 4</t>
  </si>
  <si>
    <t>42,5kg</t>
  </si>
  <si>
    <t>Barbell Back Squat TEST</t>
  </si>
  <si>
    <t>Serie 5</t>
  </si>
  <si>
    <t>47,5kg</t>
  </si>
  <si>
    <t>Serie 6</t>
  </si>
  <si>
    <t>RDL 1RM (kg)</t>
  </si>
  <si>
    <t>50kg</t>
  </si>
  <si>
    <t xml:space="preserve">2min </t>
  </si>
  <si>
    <t>Squat 1RM (kg)</t>
  </si>
  <si>
    <t>Hip Thrust Machine</t>
  </si>
  <si>
    <t>CHARGE FINALE 1RM Brzycki</t>
  </si>
  <si>
    <t>INPUTS RUN — Allures de référence (min/km, décimal ex: 6.67 = 6'40")</t>
  </si>
  <si>
    <t>3x10</t>
  </si>
  <si>
    <t>1min30</t>
  </si>
  <si>
    <t>SMITH Hip Thrust</t>
  </si>
  <si>
    <t>Allure</t>
  </si>
  <si>
    <t>Zone 2 (min/km)</t>
  </si>
  <si>
    <t>Tempo (min/km)</t>
  </si>
  <si>
    <t>Race Pace (min/km)</t>
  </si>
  <si>
    <t>4x4 VO2max (min/km)</t>
  </si>
  <si>
    <t xml:space="preserve">Hip thrust machine 20kg à vide </t>
  </si>
  <si>
    <t>Sprint 400m (min/km)</t>
  </si>
  <si>
    <t>Valeurs →</t>
  </si>
  <si>
    <t>N/A</t>
  </si>
  <si>
    <t>DB Thrusters</t>
  </si>
  <si>
    <t>PHASES DU PROGRAMME</t>
  </si>
  <si>
    <t>PHASE 1</t>
  </si>
  <si>
    <t>Sem 1–4</t>
  </si>
  <si>
    <t>3x12</t>
  </si>
  <si>
    <t>Fondations</t>
  </si>
  <si>
    <t>15 x2</t>
  </si>
  <si>
    <t>Coudes à 45° - transfert de force explosif</t>
  </si>
  <si>
    <t>Full body 3x/semaine, 2 lower focus + 1 upper,patterns moteurs, pas de performance maximale. Cardio Zone 2 post-séance 15–20 min. Déficit calorique modéré — 300 kcal/jour max</t>
  </si>
  <si>
    <t>Lunges</t>
  </si>
  <si>
    <t>PHASE 2</t>
  </si>
  <si>
    <t>Sem 5–9</t>
  </si>
  <si>
    <t>Accelération</t>
  </si>
  <si>
    <t>3x 12/jambe</t>
  </si>
  <si>
    <t>HIP THRUST</t>
  </si>
  <si>
    <t>Passage à 4 séances par semaine RPE monte à 7–8. Cardio : Zone 2 post-séance + 1 session séparée de marche en pente ou vélo 30–40 min. Déficit 400–500 kcal/jour.</t>
  </si>
  <si>
    <r>
      <rPr>
        <rFont val="Arial"/>
        <i/>
        <color theme="1"/>
        <sz val="8.0"/>
      </rPr>
      <t>Le genou embrasse le sol, les jambes sont écartées,</t>
    </r>
    <r>
      <rPr>
        <rFont val="Arial"/>
        <b/>
        <i/>
        <color rgb="FFFF0000"/>
        <sz val="8.0"/>
      </rPr>
      <t xml:space="preserve"> la fente ne doit pas être droite</t>
    </r>
  </si>
  <si>
    <t>20 lbs x2</t>
  </si>
  <si>
    <t>PHASE 3</t>
  </si>
  <si>
    <t>Unilateral Rows</t>
  </si>
  <si>
    <r>
      <rPr>
        <rFont val="Arial"/>
        <i/>
        <color theme="1"/>
        <sz val="8.0"/>
      </rPr>
      <t>Le genou embrasse le sol, les jambes sont écartées,</t>
    </r>
    <r>
      <rPr>
        <rFont val="Arial"/>
        <b/>
        <i/>
        <color rgb="FFFF0000"/>
        <sz val="8.0"/>
      </rPr>
      <t xml:space="preserve"> la fente ne doit pas être droite</t>
    </r>
  </si>
  <si>
    <t>Sem 10–13</t>
  </si>
  <si>
    <t>Pré-mariage</t>
  </si>
  <si>
    <t xml:space="preserve">Machine à vide (20kg) </t>
  </si>
  <si>
    <t>Décharge Semaine 10 ou 11 avant le mariage</t>
  </si>
  <si>
    <t>40kg</t>
  </si>
  <si>
    <t>3x12/côté</t>
  </si>
  <si>
    <t>Haltères ou Cable - Avec haltères, ramener l'haltère à la hanche</t>
  </si>
  <si>
    <t>55kg</t>
  </si>
  <si>
    <t>Finisher</t>
  </si>
  <si>
    <t>Kettlebell Swing</t>
  </si>
  <si>
    <t>65kg</t>
  </si>
  <si>
    <t>75kg</t>
  </si>
  <si>
    <t>82.5kg</t>
  </si>
  <si>
    <t>AMRAP 2 min</t>
  </si>
  <si>
    <t>No rest</t>
  </si>
  <si>
    <t>Max de repetitions possible en 2 min</t>
  </si>
  <si>
    <t>Cardio Zone 2 - 60% fréquence cardiaque</t>
  </si>
  <si>
    <t>Stairmaster</t>
  </si>
  <si>
    <t>DEADLIFT</t>
  </si>
  <si>
    <t>15 min</t>
  </si>
  <si>
    <t>Niveau 6</t>
  </si>
  <si>
    <t>Ne pas tenir les manches de la machine, gainer les abdos</t>
  </si>
  <si>
    <t>Si tu peux chanter, augmenter la pente pour atteindre 10%. Si tu ne peux plus parler, baisser la pente</t>
  </si>
  <si>
    <t>Jour 2</t>
  </si>
  <si>
    <t>Vélo ou marche légère</t>
  </si>
  <si>
    <t>5 min</t>
  </si>
  <si>
    <t xml:space="preserve">Arm rotations </t>
  </si>
  <si>
    <t>2x15</t>
  </si>
  <si>
    <t>Superman</t>
  </si>
  <si>
    <t>Greatest stretch</t>
  </si>
  <si>
    <t>8 par côté</t>
  </si>
  <si>
    <t>Tu peux poser le genou au sol si trop difficile</t>
  </si>
  <si>
    <t xml:space="preserve">Cat cow </t>
  </si>
  <si>
    <t>Full Body - Upper body Focus</t>
  </si>
  <si>
    <t>Deadlift to Bent over Row</t>
  </si>
  <si>
    <t>2 min</t>
  </si>
  <si>
    <r>
      <rPr>
        <rFont val="Arial"/>
        <b/>
        <color theme="1"/>
        <sz val="8.0"/>
      </rPr>
      <t>Position de départ : debout</t>
    </r>
    <r>
      <rPr>
        <rFont val="Arial"/>
        <color theme="1"/>
        <sz val="8.0"/>
      </rPr>
      <t>, on coince le crayon sous les bras, Garder les haltères collés au corps et enchainer avec un row contrôlé à la déscente</t>
    </r>
  </si>
  <si>
    <t>Lat pulldown</t>
  </si>
  <si>
    <r>
      <rPr>
        <rFont val="Arial"/>
        <b/>
        <color theme="1"/>
        <sz val="8.0"/>
      </rPr>
      <t>Unlock la scapula</t>
    </r>
    <r>
      <rPr>
        <rFont val="Arial"/>
        <color theme="1"/>
        <sz val="8.0"/>
      </rPr>
      <t xml:space="preserve"> en gardant </t>
    </r>
    <r>
      <rPr>
        <rFont val="Arial"/>
        <color rgb="FFFF0000"/>
        <sz val="8.0"/>
      </rPr>
      <t>les coudes dirigés vers le bas</t>
    </r>
    <r>
      <rPr>
        <rFont val="Arial"/>
        <color theme="1"/>
        <sz val="8.0"/>
      </rPr>
      <t xml:space="preserve"> et en</t>
    </r>
    <r>
      <rPr>
        <rFont val="Arial"/>
        <color rgb="FFFF0000"/>
        <sz val="8.0"/>
      </rPr>
      <t xml:space="preserve"> relanchant les épaules, les garder basses</t>
    </r>
    <r>
      <rPr>
        <rFont val="Arial"/>
        <color theme="1"/>
        <sz val="8.0"/>
      </rPr>
      <t xml:space="preserve"> et le</t>
    </r>
    <r>
      <rPr>
        <rFont val="Arial"/>
        <color rgb="FFFF0000"/>
        <sz val="8.0"/>
      </rPr>
      <t xml:space="preserve"> torse un peu bombé</t>
    </r>
  </si>
  <si>
    <t>8kgx2</t>
  </si>
  <si>
    <t>Push Press barre</t>
  </si>
  <si>
    <r>
      <rPr>
        <rFont val="Arial"/>
        <b/>
        <color theme="1"/>
        <sz val="8.0"/>
      </rPr>
      <t>Position de départ : debout</t>
    </r>
    <r>
      <rPr>
        <rFont val="Arial"/>
        <color theme="1"/>
        <sz val="8.0"/>
      </rPr>
      <t>, on coince le crayon sous les bras, Garder les haltères collés au corps et enchainer avec un row contrôlé à la déscente</t>
    </r>
  </si>
  <si>
    <t>Si la barre de 15 n'est pas disponible, utiliser la barre de 20 pour 8 répétitions</t>
  </si>
  <si>
    <t>DB Chest fly</t>
  </si>
  <si>
    <t>25 kg</t>
  </si>
  <si>
    <r>
      <rPr>
        <rFont val="Arial"/>
        <b/>
        <color theme="1"/>
        <sz val="8.0"/>
      </rPr>
      <t>Unlock la scapula</t>
    </r>
    <r>
      <rPr>
        <rFont val="Arial"/>
        <color theme="1"/>
        <sz val="8.0"/>
      </rPr>
      <t xml:space="preserve"> en gardant </t>
    </r>
    <r>
      <rPr>
        <rFont val="Arial"/>
        <color rgb="FFFF0000"/>
        <sz val="8.0"/>
      </rPr>
      <t>les coudes dirigés vers le bas</t>
    </r>
    <r>
      <rPr>
        <rFont val="Arial"/>
        <color theme="1"/>
        <sz val="8.0"/>
      </rPr>
      <t xml:space="preserve"> et en</t>
    </r>
    <r>
      <rPr>
        <rFont val="Arial"/>
        <color rgb="FFFF0000"/>
        <sz val="8.0"/>
      </rPr>
      <t xml:space="preserve"> relanchant les épaules, les garder basses</t>
    </r>
    <r>
      <rPr>
        <rFont val="Arial"/>
        <color theme="1"/>
        <sz val="8.0"/>
      </rPr>
      <t xml:space="preserve"> et le</t>
    </r>
    <r>
      <rPr>
        <rFont val="Arial"/>
        <color rgb="FFFF0000"/>
        <sz val="8.0"/>
      </rPr>
      <t xml:space="preserve"> torse un peu bombé</t>
    </r>
  </si>
  <si>
    <t>3x8</t>
  </si>
  <si>
    <t>Abs &amp; Core circuit - 3 rounds</t>
  </si>
  <si>
    <t>Plank with DB pass through</t>
  </si>
  <si>
    <t>Barre de 15kg</t>
  </si>
  <si>
    <t>16 passages</t>
  </si>
  <si>
    <t>30 sec, pas plus !</t>
  </si>
  <si>
    <t>Crunches</t>
  </si>
  <si>
    <t>5kg x2</t>
  </si>
  <si>
    <t>On touche les orteils avec les doigts</t>
  </si>
  <si>
    <t>Spinal flexion</t>
  </si>
  <si>
    <t>Les jambes ne déscendent pas complètement</t>
  </si>
  <si>
    <t>Plank with arm lift</t>
  </si>
  <si>
    <t>30 sec</t>
  </si>
  <si>
    <t>Cardio 15min</t>
  </si>
  <si>
    <t>Marche en pente</t>
  </si>
  <si>
    <t>Vitesse 5km/h | Pente 10%</t>
  </si>
  <si>
    <t>Jour 3</t>
  </si>
  <si>
    <t>Full Body - Glutes Focus</t>
  </si>
  <si>
    <t>Hip Thrust TEST</t>
  </si>
  <si>
    <t>Si il y a une machine, l'utiliser.</t>
  </si>
  <si>
    <t xml:space="preserve">Split Squats </t>
  </si>
  <si>
    <t>3x8/jambe</t>
  </si>
  <si>
    <t>Incliner le bust pour un ressenti fessiers</t>
  </si>
  <si>
    <t>Seated Cable Row</t>
  </si>
  <si>
    <t>8kg x2</t>
  </si>
  <si>
    <t>1min 30</t>
  </si>
  <si>
    <t>Back extension</t>
  </si>
  <si>
    <t>20kg</t>
  </si>
  <si>
    <t>4x10</t>
  </si>
  <si>
    <t>Arrondir le dos pour protéger les lombaires</t>
  </si>
  <si>
    <t>Cossack Squat</t>
  </si>
  <si>
    <t>pas de charge</t>
  </si>
  <si>
    <t>Cardio 20min</t>
  </si>
  <si>
    <t>Vitesse 5km/h | Pente 9%</t>
  </si>
  <si>
    <t>Disque 5kg</t>
  </si>
  <si>
    <t>POINTS DE VIGILANCE</t>
  </si>
  <si>
    <t>Tempo contrôlé sur tous les exercices : 2s descente · 1s pause · 1s montée</t>
  </si>
  <si>
    <t>30kg</t>
  </si>
  <si>
    <t>RPE cible 7–8/10 — si elle dit 'c'est bon', ajouter 1–2 reps ou +2,5 kg</t>
  </si>
  <si>
    <t>Semaines 1–4 : 2–3 séries uniquement · Monter à 4 séries à partir de la semaine 5</t>
  </si>
  <si>
    <t>DOMS acceptables mais pas paralysants — réduire le volume si courbatures à J+3</t>
  </si>
  <si>
    <t>10 kg</t>
  </si>
  <si>
    <r>
      <rPr>
        <rFont val="Arial"/>
        <i/>
        <color theme="1"/>
        <sz val="8.0"/>
      </rPr>
      <t>Le genou embrasse le sol, les jambes sont écartées,</t>
    </r>
    <r>
      <rPr>
        <rFont val="Arial"/>
        <b/>
        <i/>
        <color rgb="FFFF0000"/>
        <sz val="8.0"/>
      </rPr>
      <t xml:space="preserve"> la fente ne doit pas être droite</t>
    </r>
  </si>
  <si>
    <t>8kg</t>
  </si>
  <si>
    <t>12kg</t>
  </si>
  <si>
    <t>Vitesse 5km/h</t>
  </si>
  <si>
    <r>
      <rPr>
        <rFont val="Arial"/>
        <b/>
        <color theme="1"/>
        <sz val="8.0"/>
      </rPr>
      <t>Position de départ : debout</t>
    </r>
    <r>
      <rPr>
        <rFont val="Arial"/>
        <color theme="1"/>
        <sz val="8.0"/>
      </rPr>
      <t>, on coince le crayon sous les bras, Garder les haltères collés au corps et enchainer avec un row contrôlé à la déscente</t>
    </r>
  </si>
  <si>
    <r>
      <rPr>
        <rFont val="Arial"/>
        <b/>
        <color theme="1"/>
        <sz val="8.0"/>
      </rPr>
      <t>Unlock la scapula</t>
    </r>
    <r>
      <rPr>
        <rFont val="Arial"/>
        <color theme="1"/>
        <sz val="8.0"/>
      </rPr>
      <t xml:space="preserve"> en gardant </t>
    </r>
    <r>
      <rPr>
        <rFont val="Arial"/>
        <color rgb="FFFF0000"/>
        <sz val="8.0"/>
      </rPr>
      <t>les coudes dirigés vers le bas</t>
    </r>
    <r>
      <rPr>
        <rFont val="Arial"/>
        <color theme="1"/>
        <sz val="8.0"/>
      </rPr>
      <t xml:space="preserve"> et en</t>
    </r>
    <r>
      <rPr>
        <rFont val="Arial"/>
        <color rgb="FFFF0000"/>
        <sz val="8.0"/>
      </rPr>
      <t xml:space="preserve"> relanchant les épaules, les garder basses</t>
    </r>
    <r>
      <rPr>
        <rFont val="Arial"/>
        <color theme="1"/>
        <sz val="8.0"/>
      </rPr>
      <t xml:space="preserve"> et le</t>
    </r>
    <r>
      <rPr>
        <rFont val="Arial"/>
        <color rgb="FFFF0000"/>
        <sz val="8.0"/>
      </rPr>
      <t xml:space="preserve"> torse un peu bombé</t>
    </r>
  </si>
  <si>
    <r>
      <rPr>
        <rFont val="Arial"/>
        <i/>
        <color theme="1"/>
        <sz val="8.0"/>
      </rPr>
      <t>Le genou embrasse le sol, les jambes sont écartées,</t>
    </r>
    <r>
      <rPr>
        <rFont val="Arial"/>
        <b/>
        <i/>
        <color rgb="FFFF0000"/>
        <sz val="8.0"/>
      </rPr>
      <t xml:space="preserve"> la fente ne doit pas être droite</t>
    </r>
  </si>
  <si>
    <r>
      <rPr>
        <rFont val="Arial"/>
        <b/>
        <color theme="1"/>
        <sz val="8.0"/>
      </rPr>
      <t>Position de départ : debout</t>
    </r>
    <r>
      <rPr>
        <rFont val="Arial"/>
        <color theme="1"/>
        <sz val="8.0"/>
      </rPr>
      <t>, on coince le crayon sous les bras, Garder les haltères collés au corps et enchainer avec un row contrôlé à la déscente</t>
    </r>
  </si>
  <si>
    <r>
      <rPr>
        <rFont val="Arial"/>
        <b/>
        <color theme="1"/>
        <sz val="8.0"/>
      </rPr>
      <t>Unlock la scapula</t>
    </r>
    <r>
      <rPr>
        <rFont val="Arial"/>
        <color theme="1"/>
        <sz val="8.0"/>
      </rPr>
      <t xml:space="preserve"> en gardant </t>
    </r>
    <r>
      <rPr>
        <rFont val="Arial"/>
        <color rgb="FFFF0000"/>
        <sz val="8.0"/>
      </rPr>
      <t>les coudes dirigés vers le bas</t>
    </r>
    <r>
      <rPr>
        <rFont val="Arial"/>
        <color theme="1"/>
        <sz val="8.0"/>
      </rPr>
      <t xml:space="preserve"> et en</t>
    </r>
    <r>
      <rPr>
        <rFont val="Arial"/>
        <color rgb="FFFF0000"/>
        <sz val="8.0"/>
      </rPr>
      <t xml:space="preserve"> relanchant les épaules, les garder basses</t>
    </r>
    <r>
      <rPr>
        <rFont val="Arial"/>
        <color theme="1"/>
        <sz val="8.0"/>
      </rPr>
      <t xml:space="preserve"> et le</t>
    </r>
    <r>
      <rPr>
        <rFont val="Arial"/>
        <color rgb="FFFF0000"/>
        <sz val="8.0"/>
      </rPr>
      <t xml:space="preserve"> torse un peu bombé</t>
    </r>
  </si>
  <si>
    <t>TABLE DE CONVERSIONS · KG ↔ LBS</t>
  </si>
  <si>
    <t>1 kg = 2.2046 lbs  ·  1 lb = 0.4536 kg</t>
  </si>
  <si>
    <t>KG → LBS</t>
  </si>
  <si>
    <t>LBS → KG</t>
  </si>
  <si>
    <t>Kilogrammes (kg)</t>
  </si>
  <si>
    <t>Livres (lbs)</t>
  </si>
  <si>
    <t>1.25 kg</t>
  </si>
  <si>
    <t>2.8 lbs</t>
  </si>
  <si>
    <t>2.5 lbs</t>
  </si>
  <si>
    <t>1.13 kg</t>
  </si>
  <si>
    <t>2.5 kg</t>
  </si>
  <si>
    <t>5.5 lbs</t>
  </si>
  <si>
    <t>5 lbs</t>
  </si>
  <si>
    <t>2.27 kg</t>
  </si>
  <si>
    <t>5 kg</t>
  </si>
  <si>
    <t>11.0 lbs</t>
  </si>
  <si>
    <t>10 lbs</t>
  </si>
  <si>
    <t>4.54 kg</t>
  </si>
  <si>
    <t>7.5 kg</t>
  </si>
  <si>
    <t>16.5 lbs</t>
  </si>
  <si>
    <t>15 lbs</t>
  </si>
  <si>
    <t>6.8 kg</t>
  </si>
  <si>
    <t>8 kg</t>
  </si>
  <si>
    <t>17.6 lbs</t>
  </si>
  <si>
    <t>20 lbs</t>
  </si>
  <si>
    <t>9.07 kg</t>
  </si>
  <si>
    <t>22.0 lbs</t>
  </si>
  <si>
    <t>25 lbs</t>
  </si>
  <si>
    <t>11.34 kg</t>
  </si>
  <si>
    <t>12 kg</t>
  </si>
  <si>
    <t>26.5 lbs</t>
  </si>
  <si>
    <t>30 lbs</t>
  </si>
  <si>
    <t>13.61 kg</t>
  </si>
  <si>
    <t>12.5 kg</t>
  </si>
  <si>
    <t>27.6 lbs</t>
  </si>
  <si>
    <t>35 lbs</t>
  </si>
  <si>
    <t>15.88 kg</t>
  </si>
  <si>
    <t>15 kg</t>
  </si>
  <si>
    <t>33.1 lbs</t>
  </si>
  <si>
    <t>40 lbs</t>
  </si>
  <si>
    <t>18.14 kg</t>
  </si>
  <si>
    <t>16 kg</t>
  </si>
  <si>
    <t>35.3 lbs</t>
  </si>
  <si>
    <t>45 lbs</t>
  </si>
  <si>
    <t>20.41 kg</t>
  </si>
  <si>
    <t>17.5 kg</t>
  </si>
  <si>
    <t>38.6 lbs</t>
  </si>
  <si>
    <t>50 lbs</t>
  </si>
  <si>
    <t>22.68 kg</t>
  </si>
  <si>
    <t>20 kg</t>
  </si>
  <si>
    <t>44.1 lbs</t>
  </si>
  <si>
    <t>55 lbs</t>
  </si>
  <si>
    <t>24.95 kg</t>
  </si>
  <si>
    <t>22.5 kg</t>
  </si>
  <si>
    <t>49.6 lbs</t>
  </si>
  <si>
    <t>60 lbs</t>
  </si>
  <si>
    <t>27.22 kg</t>
  </si>
  <si>
    <t>55.1 lbs</t>
  </si>
  <si>
    <t>65 lbs</t>
  </si>
  <si>
    <t>29.48 kg</t>
  </si>
  <si>
    <t>27.5 kg</t>
  </si>
  <si>
    <t>60.6 lbs</t>
  </si>
  <si>
    <t>70 lbs</t>
  </si>
  <si>
    <t>31.75 kg</t>
  </si>
  <si>
    <t>30 kg</t>
  </si>
  <si>
    <t>66.1 lbs</t>
  </si>
  <si>
    <t>75 lbs</t>
  </si>
  <si>
    <t>34.02 kg</t>
  </si>
  <si>
    <t>32.5 kg</t>
  </si>
  <si>
    <t>71.6 lbs</t>
  </si>
  <si>
    <t>80 lbs</t>
  </si>
  <si>
    <t>36.29 kg</t>
  </si>
  <si>
    <t>35 kg</t>
  </si>
  <si>
    <t>77.2 lbs</t>
  </si>
  <si>
    <t>85 lbs</t>
  </si>
  <si>
    <t>38.56 kg</t>
  </si>
  <si>
    <t>37.5 kg</t>
  </si>
  <si>
    <t>82.7 lbs</t>
  </si>
  <si>
    <t>90 lbs</t>
  </si>
  <si>
    <t>40.82 kg</t>
  </si>
  <si>
    <t>40 kg</t>
  </si>
  <si>
    <t>88.2 lbs</t>
  </si>
  <si>
    <t>95 lbs</t>
  </si>
  <si>
    <t>43.09 kg</t>
  </si>
  <si>
    <t>42.5 kg</t>
  </si>
  <si>
    <t>93.7 lbs</t>
  </si>
  <si>
    <t>100 lbs</t>
  </si>
  <si>
    <t>45.36 kg</t>
  </si>
  <si>
    <t>45 kg</t>
  </si>
  <si>
    <t>99.2 lbs</t>
  </si>
  <si>
    <t>105 lbs</t>
  </si>
  <si>
    <t>47.63 kg</t>
  </si>
  <si>
    <t>47.5 kg</t>
  </si>
  <si>
    <t>104.7 lbs</t>
  </si>
  <si>
    <t>110 lbs</t>
  </si>
  <si>
    <t>49.9 kg</t>
  </si>
  <si>
    <t>50 kg</t>
  </si>
  <si>
    <t>110.2 lbs</t>
  </si>
  <si>
    <t>115 lbs</t>
  </si>
  <si>
    <t>52.16 kg</t>
  </si>
  <si>
    <t>52.5 kg</t>
  </si>
  <si>
    <t>115.7 lbs</t>
  </si>
  <si>
    <t>120 lbs</t>
  </si>
  <si>
    <t>54.43 kg</t>
  </si>
  <si>
    <t>55 kg</t>
  </si>
  <si>
    <t>121.3 lbs</t>
  </si>
  <si>
    <t>125 lbs</t>
  </si>
  <si>
    <t>56.7 kg</t>
  </si>
  <si>
    <t>57.5 kg</t>
  </si>
  <si>
    <t>126.8 lbs</t>
  </si>
  <si>
    <t>130 lbs</t>
  </si>
  <si>
    <t>58.97 kg</t>
  </si>
  <si>
    <t>60 kg</t>
  </si>
  <si>
    <t>132.3 lbs</t>
  </si>
  <si>
    <t>135 lbs</t>
  </si>
  <si>
    <t>61.24 kg</t>
  </si>
  <si>
    <t>62.5 kg</t>
  </si>
  <si>
    <t>137.8 lbs</t>
  </si>
  <si>
    <t>140 lbs</t>
  </si>
  <si>
    <t>63.5 kg</t>
  </si>
  <si>
    <t>65 kg</t>
  </si>
  <si>
    <t>143.3 lbs</t>
  </si>
  <si>
    <t>145 lbs</t>
  </si>
  <si>
    <t>65.77 kg</t>
  </si>
  <si>
    <t>67.5 kg</t>
  </si>
  <si>
    <t>148.8 lbs</t>
  </si>
  <si>
    <t>150 lbs</t>
  </si>
  <si>
    <t>68.04 kg</t>
  </si>
  <si>
    <t>70 kg</t>
  </si>
  <si>
    <t>154.3 lbs</t>
  </si>
  <si>
    <t>155 lbs</t>
  </si>
  <si>
    <t>70.31 kg</t>
  </si>
  <si>
    <t>72.5 kg</t>
  </si>
  <si>
    <t>159.8 lbs</t>
  </si>
  <si>
    <t>160 lbs</t>
  </si>
  <si>
    <t>72.58 kg</t>
  </si>
  <si>
    <t>75 kg</t>
  </si>
  <si>
    <t>165.3 lbs</t>
  </si>
  <si>
    <t>165 lbs</t>
  </si>
  <si>
    <t>74.84 kg</t>
  </si>
  <si>
    <t>80 kg</t>
  </si>
  <si>
    <t>176.4 lbs</t>
  </si>
  <si>
    <t>170 lbs</t>
  </si>
  <si>
    <t>77.11 kg</t>
  </si>
  <si>
    <t>85 kg</t>
  </si>
  <si>
    <t>187.4 lbs</t>
  </si>
  <si>
    <t>175 lbs</t>
  </si>
  <si>
    <t>79.38 kg</t>
  </si>
  <si>
    <t>90 kg</t>
  </si>
  <si>
    <t>198.4 lbs</t>
  </si>
  <si>
    <t>180 lbs</t>
  </si>
  <si>
    <t>81.65 kg</t>
  </si>
  <si>
    <t>95 kg</t>
  </si>
  <si>
    <t>209.4 lbs</t>
  </si>
  <si>
    <t>185 lbs</t>
  </si>
  <si>
    <t>83.92 kg</t>
  </si>
  <si>
    <t>100 kg</t>
  </si>
  <si>
    <t>220.5 lbs</t>
  </si>
  <si>
    <t>190 lbs</t>
  </si>
  <si>
    <t>86.18 kg</t>
  </si>
  <si>
    <t>200 lbs</t>
  </si>
  <si>
    <t>90.72 kg</t>
  </si>
  <si>
    <t>CALCULATEUR RAPIDE</t>
  </si>
  <si>
    <t>Saisir une valeur en KG :</t>
  </si>
  <si>
    <t>Résultat en LBS :</t>
  </si>
  <si>
    <t>Saisir une valeur en LBS :</t>
  </si>
  <si>
    <t>Résultat en KG :</t>
  </si>
  <si>
    <t>Les cellules en jaune sont à remplir — le résultat s'affiche automatiquement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</si>
</sst>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&quot; kg&quot;"/>
    <numFmt numFmtId="165" formatCode="0.00&quot; min/km&quot;"/>
  </numFmts>
  <fonts count="58">
    <font>
      <sz val="10.0"/>
      <color rgb="FF000000"/>
      <name val="Arial"/>
      <scheme val="minor"/>
    </font>
    <font>
      <sz val="8.0"/>
      <color theme="1"/>
      <name val="Arial"/>
    </font>
    <font>
      <b/>
      <sz val="16.0"/>
      <color rgb="FFFFFFFF"/>
      <name val="Arial"/>
    </font>
    <font/>
    <font>
      <color theme="1"/>
      <name val="Arial"/>
    </font>
    <font>
      <sz val="10.0"/>
      <color rgb="FFD9EAD3"/>
      <name val="Arial"/>
    </font>
    <font>
      <b/>
      <i/>
      <sz val="8.0"/>
      <color theme="1"/>
      <name val="Arial"/>
    </font>
    <font>
      <b/>
      <sz val="8.0"/>
      <color theme="1"/>
      <name val="Helvetica Neue"/>
    </font>
    <font>
      <b/>
      <sz val="11.0"/>
      <color rgb="FF1A1A2E"/>
      <name val="Arial"/>
    </font>
    <font>
      <b/>
      <sz val="10.0"/>
      <color rgb="FF333333"/>
      <name val="Arial"/>
    </font>
    <font>
      <sz val="10.0"/>
      <color rgb="FF000000"/>
      <name val="Arial"/>
    </font>
    <font>
      <b/>
      <sz val="8.0"/>
      <color theme="1"/>
      <name val="Arial"/>
    </font>
    <font>
      <b/>
      <sz val="10.0"/>
      <color rgb="FF000000"/>
      <name val="Arial"/>
    </font>
    <font>
      <b/>
      <sz val="8.0"/>
      <color rgb="FFFFFFFF"/>
      <name val="Helvetica Neue"/>
    </font>
    <font>
      <b/>
      <u/>
      <sz val="8.0"/>
      <color rgb="FF0000FF"/>
      <name val="Helvetica Neue"/>
    </font>
    <font>
      <b/>
      <sz val="11.0"/>
      <color rgb="FFD9EAD3"/>
      <name val="Arial"/>
    </font>
    <font>
      <sz val="8.0"/>
      <color theme="1"/>
      <name val="Helvetica Neue"/>
    </font>
    <font>
      <b/>
      <sz val="10.0"/>
      <color theme="1"/>
      <name val="Arial"/>
    </font>
    <font>
      <b/>
      <sz val="8.0"/>
      <color rgb="FFFF0000"/>
      <name val="Arial"/>
    </font>
    <font>
      <u/>
      <sz val="8.0"/>
      <color rgb="FF0000FF"/>
      <name val="Arial"/>
    </font>
    <font>
      <b/>
      <sz val="10.0"/>
      <color rgb="FF0000FF"/>
      <name val="Arial"/>
    </font>
    <font>
      <i/>
      <sz val="8.0"/>
      <color theme="1"/>
      <name val="Arial"/>
    </font>
    <font>
      <b/>
      <u/>
      <sz val="8.0"/>
      <color rgb="FF0000FF"/>
      <name val="Arial"/>
    </font>
    <font>
      <u/>
      <sz val="8.0"/>
      <color rgb="FF0000FF"/>
      <name val="Arial"/>
    </font>
    <font>
      <b/>
      <sz val="10.0"/>
      <color rgb="FFD9EAD3"/>
      <name val="Arial"/>
    </font>
    <font>
      <color rgb="FFD9EAD3"/>
      <name val="Arial"/>
      <scheme val="minor"/>
    </font>
    <font>
      <b/>
      <sz val="9.0"/>
      <color rgb="FF000000"/>
      <name val="Arial"/>
    </font>
    <font>
      <b/>
      <sz val="11.0"/>
      <color rgb="FFFFFFFF"/>
      <name val="Arial"/>
    </font>
    <font>
      <b/>
      <sz val="11.0"/>
      <color rgb="FF1A7A3A"/>
      <name val="Arial"/>
    </font>
    <font>
      <b/>
      <sz val="10.0"/>
      <color rgb="FF1A7A3A"/>
      <name val="Arial"/>
    </font>
    <font>
      <b/>
      <strike/>
      <sz val="8.0"/>
      <color theme="1"/>
      <name val="Arial"/>
    </font>
    <font>
      <b/>
      <strike/>
      <color theme="1"/>
      <name val="Arial"/>
    </font>
    <font>
      <sz val="10.0"/>
      <color rgb="FF333333"/>
      <name val="Arial"/>
    </font>
    <font>
      <b/>
      <sz val="11.0"/>
      <color rgb="FF0C6274"/>
      <name val="Arial"/>
    </font>
    <font>
      <b/>
      <sz val="10.0"/>
      <color rgb="FF0C6274"/>
      <name val="Arial"/>
    </font>
    <font>
      <b/>
      <sz val="11.0"/>
      <color rgb="FF856404"/>
      <name val="Arial"/>
    </font>
    <font>
      <b/>
      <sz val="10.0"/>
      <color rgb="FF856404"/>
      <name val="Arial"/>
    </font>
    <font>
      <u/>
      <sz val="8.0"/>
      <color rgb="FF0000FF"/>
      <name val="Arial"/>
    </font>
    <font>
      <u/>
      <sz val="8.0"/>
      <color rgb="FF0000FF"/>
      <name val="Helvetica Neue"/>
    </font>
    <font>
      <u/>
      <sz val="8.0"/>
      <color rgb="FF0000FF"/>
      <name val="Arial"/>
    </font>
    <font>
      <b/>
      <sz val="8.0"/>
      <color rgb="FFFF0000"/>
      <name val="Helvetica Neue"/>
    </font>
    <font>
      <strike/>
      <sz val="8.0"/>
      <color theme="1"/>
      <name val="Helvetica Neue"/>
    </font>
    <font>
      <strike/>
      <sz val="8.0"/>
      <color theme="1"/>
      <name val="Arial"/>
    </font>
    <font>
      <strike/>
      <color theme="1"/>
      <name val="Arial"/>
    </font>
    <font>
      <b/>
      <strike/>
      <sz val="8.0"/>
      <color theme="1"/>
      <name val="Helvetica Neue"/>
    </font>
    <font>
      <b/>
      <u/>
      <sz val="8.0"/>
      <color rgb="FF0000FF"/>
      <name val="Helvetica Neue"/>
    </font>
    <font>
      <b/>
      <color theme="1"/>
      <name val="Arial"/>
    </font>
    <font>
      <b/>
      <sz val="9.0"/>
      <color rgb="FFFFFFFF"/>
      <name val="Arial"/>
    </font>
    <font>
      <b/>
      <i/>
      <sz val="9.0"/>
      <color rgb="FF444444"/>
      <name val="Arial"/>
    </font>
    <font>
      <b/>
      <strike/>
      <color theme="1"/>
      <name val="Arial"/>
      <scheme val="minor"/>
    </font>
    <font>
      <b/>
      <sz val="14.0"/>
      <color rgb="FFFFFFFF"/>
      <name val="Arial"/>
    </font>
    <font>
      <i/>
      <sz val="10.0"/>
      <color rgb="FFFFFFFF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0.0"/>
      <color rgb="FF2D3436"/>
      <name val="Arial"/>
    </font>
    <font>
      <sz val="10.0"/>
      <color rgb="FF2D3436"/>
      <name val="Arial"/>
    </font>
    <font>
      <b/>
      <sz val="10.0"/>
      <color rgb="FF1A4731"/>
      <name val="Arial"/>
    </font>
    <font>
      <i/>
      <sz val="9.0"/>
      <color rgb="FF7D5A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7F4EC"/>
        <bgColor rgb="FFF7F4EC"/>
      </patternFill>
    </fill>
    <fill>
      <patternFill patternType="solid">
        <fgColor rgb="FFAD947E"/>
        <bgColor rgb="FFAD947E"/>
      </patternFill>
    </fill>
    <fill>
      <patternFill patternType="solid">
        <fgColor rgb="FFD9EAD3"/>
        <bgColor rgb="FFD9EAD3"/>
      </patternFill>
    </fill>
    <fill>
      <patternFill patternType="solid">
        <fgColor rgb="FFF5F5F5"/>
        <bgColor rgb="FFF5F5F5"/>
      </patternFill>
    </fill>
    <fill>
      <patternFill patternType="solid">
        <fgColor rgb="FFB6D7A8"/>
        <bgColor rgb="FFB6D7A8"/>
      </patternFill>
    </fill>
    <fill>
      <patternFill patternType="solid">
        <fgColor rgb="FFFFF9E6"/>
        <bgColor rgb="FFFFF9E6"/>
      </patternFill>
    </fill>
    <fill>
      <patternFill patternType="solid">
        <fgColor rgb="FF2D6A4F"/>
        <bgColor rgb="FF2D6A4F"/>
      </patternFill>
    </fill>
    <fill>
      <patternFill patternType="solid">
        <fgColor rgb="FFD4EDDA"/>
        <bgColor rgb="FFD4EDDA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FFF3CD"/>
        <bgColor rgb="FFFFF3CD"/>
      </patternFill>
    </fill>
    <fill>
      <patternFill patternType="solid">
        <fgColor rgb="FF1A6B3C"/>
        <bgColor rgb="FF1A6B3C"/>
      </patternFill>
    </fill>
    <fill>
      <patternFill patternType="solid">
        <fgColor rgb="FF1A4731"/>
        <bgColor rgb="FF1A4731"/>
      </patternFill>
    </fill>
    <fill>
      <patternFill patternType="solid">
        <fgColor rgb="FFD8F3DC"/>
        <bgColor rgb="FFD8F3DC"/>
      </patternFill>
    </fill>
    <fill>
      <patternFill patternType="solid">
        <fgColor rgb="FFF0FFF4"/>
        <bgColor rgb="FFF0FFF4"/>
      </patternFill>
    </fill>
    <fill>
      <patternFill patternType="solid">
        <fgColor rgb="FF52B788"/>
        <bgColor rgb="FF52B788"/>
      </patternFill>
    </fill>
    <fill>
      <patternFill patternType="solid">
        <fgColor rgb="FFF5FFF7"/>
        <bgColor rgb="FFF5FFF7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bottom"/>
    </xf>
    <xf borderId="2" fillId="0" fontId="3" numFmtId="0" xfId="0" applyBorder="1" applyFont="1"/>
    <xf borderId="0" fillId="0" fontId="4" numFmtId="0" xfId="0" applyAlignment="1" applyFont="1">
      <alignment vertical="bottom"/>
    </xf>
    <xf borderId="3" fillId="0" fontId="3" numFmtId="0" xfId="0" applyBorder="1" applyFont="1"/>
    <xf borderId="0" fillId="0" fontId="1" numFmtId="0" xfId="0" applyAlignment="1" applyFont="1">
      <alignment vertical="top"/>
    </xf>
    <xf borderId="1" fillId="3" fontId="5" numFmtId="0" xfId="0" applyAlignment="1" applyBorder="1" applyFill="1" applyFont="1">
      <alignment horizontal="center" readingOrder="0" vertical="center"/>
    </xf>
    <xf borderId="0" fillId="4" fontId="6" numFmtId="0" xfId="0" applyAlignment="1" applyFill="1" applyFont="1">
      <alignment horizontal="center" vertical="top"/>
    </xf>
    <xf borderId="0" fillId="0" fontId="1" numFmtId="0" xfId="0" applyAlignment="1" applyFont="1">
      <alignment horizontal="center" vertical="top"/>
    </xf>
    <xf borderId="0" fillId="5" fontId="7" numFmtId="0" xfId="0" applyAlignment="1" applyFill="1" applyFont="1">
      <alignment horizontal="center" readingOrder="0" vertical="center"/>
    </xf>
    <xf borderId="1" fillId="6" fontId="8" numFmtId="0" xfId="0" applyAlignment="1" applyBorder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readingOrder="0" vertical="top"/>
    </xf>
    <xf borderId="4" fillId="7" fontId="9" numFmtId="0" xfId="0" applyAlignment="1" applyBorder="1" applyFill="1" applyFont="1">
      <alignment horizontal="left" vertical="center"/>
    </xf>
    <xf borderId="0" fillId="5" fontId="7" numFmtId="0" xfId="0" applyAlignment="1" applyFill="1" applyFont="1">
      <alignment vertical="top"/>
    </xf>
    <xf borderId="5" fillId="6" fontId="10" numFmtId="0" xfId="0" applyAlignment="1" applyBorder="1" applyFill="1" applyFont="1">
      <alignment horizontal="left" readingOrder="0" vertical="center"/>
    </xf>
    <xf borderId="0" fillId="5" fontId="7" numFmtId="0" xfId="0" applyAlignment="1" applyFill="1" applyFont="1">
      <alignment readingOrder="0" vertical="top"/>
    </xf>
    <xf borderId="6" fillId="0" fontId="3" numFmtId="0" xfId="0" applyBorder="1" applyFont="1"/>
    <xf borderId="0" fillId="8" fontId="11" numFmtId="0" xfId="0" applyAlignment="1" applyFill="1" applyFont="1">
      <alignment horizontal="center" readingOrder="0" vertical="bottom"/>
    </xf>
    <xf borderId="7" fillId="0" fontId="3" numFmtId="0" xfId="0" applyBorder="1" applyFont="1"/>
    <xf borderId="0" fillId="5" fontId="11" numFmtId="0" xfId="0" applyAlignment="1" applyFill="1" applyFont="1">
      <alignment horizontal="center" vertical="bottom"/>
    </xf>
    <xf borderId="5" fillId="9" fontId="12" numFmtId="0" xfId="0" applyAlignment="1" applyBorder="1" applyFill="1" applyFont="1">
      <alignment horizontal="left" readingOrder="0" vertical="center"/>
    </xf>
    <xf borderId="0" fillId="10" fontId="13" numFmtId="0" xfId="0" applyAlignment="1" applyFill="1" applyFont="1">
      <alignment readingOrder="0" vertical="top"/>
    </xf>
    <xf borderId="4" fillId="7" fontId="9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11" fontId="14" numFmtId="0" xfId="0" applyAlignment="1" applyFill="1" applyFont="1">
      <alignment readingOrder="0" vertical="top"/>
    </xf>
    <xf borderId="0" fillId="4" fontId="1" numFmtId="0" xfId="0" applyAlignment="1" applyFill="1" applyFont="1">
      <alignment readingOrder="0"/>
    </xf>
    <xf borderId="1" fillId="2" fontId="15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vertical="bottom" wrapText="1"/>
    </xf>
    <xf borderId="0" fillId="0" fontId="16" numFmtId="0" xfId="0" applyAlignment="1" applyFont="1">
      <alignment horizontal="center" readingOrder="0" vertical="top"/>
    </xf>
    <xf borderId="5" fillId="12" fontId="17" numFmtId="0" xfId="0" applyBorder="1" applyFill="1" applyFont="1"/>
    <xf borderId="5" fillId="12" fontId="17" numFmtId="0" xfId="0" applyAlignment="1" applyBorder="1" applyFill="1" applyFont="1">
      <alignment horizontal="center"/>
    </xf>
    <xf borderId="0" fillId="0" fontId="7" numFmtId="0" xfId="0" applyAlignment="1" applyFont="1">
      <alignment horizontal="center" readingOrder="0" vertical="top"/>
    </xf>
    <xf borderId="4" fillId="12" fontId="17" numFmtId="0" xfId="0" applyAlignment="1" applyBorder="1" applyFill="1" applyFont="1">
      <alignment horizontal="center"/>
    </xf>
    <xf borderId="0" fillId="0" fontId="18" numFmtId="0" xfId="0" applyAlignment="1" applyFont="1">
      <alignment horizontal="center" readingOrder="0" shrinkToFit="0" wrapText="1"/>
    </xf>
    <xf borderId="0" fillId="4" fontId="19" numFmtId="0" xfId="0" applyAlignment="1" applyFill="1" applyFont="1">
      <alignment readingOrder="0"/>
    </xf>
    <xf borderId="0" fillId="4" fontId="1" numFmtId="0" xfId="0" applyAlignment="1" applyFill="1" applyFont="1">
      <alignment horizontal="left" readingOrder="0"/>
    </xf>
    <xf borderId="5" fillId="7" fontId="10" numFmtId="0" xfId="0" applyBorder="1" applyFill="1" applyFont="1"/>
    <xf borderId="8" fillId="4" fontId="1" numFmtId="0" xfId="0" applyAlignment="1" applyBorder="1" applyFill="1" applyFont="1">
      <alignment readingOrder="0"/>
    </xf>
    <xf borderId="5" fillId="9" fontId="20" numFmtId="0" xfId="0" applyAlignment="1" applyBorder="1" applyFill="1" applyFont="1">
      <alignment horizontal="center" readingOrder="0"/>
    </xf>
    <xf borderId="9" fillId="4" fontId="1" numFmtId="0" xfId="0" applyAlignment="1" applyBorder="1" applyFill="1" applyFont="1">
      <alignment readingOrder="0"/>
    </xf>
    <xf borderId="9" fillId="4" fontId="1" numFmtId="0" xfId="0" applyAlignment="1" applyBorder="1" applyFill="1" applyFont="1">
      <alignment horizontal="center" readingOrder="0"/>
    </xf>
    <xf borderId="10" fillId="13" fontId="1" numFmtId="0" xfId="0" applyAlignment="1" applyBorder="1" applyFill="1" applyFont="1">
      <alignment readingOrder="0"/>
    </xf>
    <xf borderId="11" fillId="4" fontId="1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4" fillId="14" fontId="10" numFmtId="164" xfId="0" applyAlignment="1" applyBorder="1" applyFill="1" applyFont="1" applyNumberFormat="1">
      <alignment horizontal="center"/>
    </xf>
    <xf borderId="0" fillId="0" fontId="21" numFmtId="0" xfId="0" applyAlignment="1" applyFont="1">
      <alignment readingOrder="0" shrinkToFit="0" vertical="bottom" wrapText="1"/>
    </xf>
    <xf borderId="0" fillId="4" fontId="1" numFmtId="0" xfId="0" applyAlignment="1" applyFill="1" applyFont="1">
      <alignment horizontal="center" readingOrder="0"/>
    </xf>
    <xf borderId="12" fillId="13" fontId="1" numFmtId="0" xfId="0" applyAlignment="1" applyBorder="1" applyFill="1" applyFont="1">
      <alignment readingOrder="0"/>
    </xf>
    <xf borderId="0" fillId="0" fontId="21" numFmtId="0" xfId="0" applyAlignment="1" applyFont="1">
      <alignment shrinkToFit="0" vertical="bottom" wrapText="1"/>
    </xf>
    <xf borderId="8" fillId="4" fontId="22" numFmtId="0" xfId="0" applyAlignment="1" applyBorder="1" applyFill="1" applyFont="1">
      <alignment readingOrder="0"/>
    </xf>
    <xf borderId="13" fillId="4" fontId="1" numFmtId="0" xfId="0" applyAlignment="1" applyBorder="1" applyFill="1" applyFont="1">
      <alignment readingOrder="0"/>
    </xf>
    <xf borderId="9" fillId="4" fontId="11" numFmtId="0" xfId="0" applyAlignment="1" applyBorder="1" applyFill="1" applyFont="1">
      <alignment readingOrder="0"/>
    </xf>
    <xf borderId="14" fillId="4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 shrinkToFit="0" vertical="bottom" wrapText="1"/>
    </xf>
    <xf borderId="14" fillId="4" fontId="1" numFmtId="0" xfId="0" applyAlignment="1" applyBorder="1" applyFill="1" applyFont="1">
      <alignment horizontal="center" readingOrder="0"/>
    </xf>
    <xf borderId="15" fillId="13" fontId="1" numFmtId="0" xfId="0" applyAlignment="1" applyBorder="1" applyFill="1" applyFont="1">
      <alignment readingOrder="0"/>
    </xf>
    <xf borderId="0" fillId="0" fontId="4" numFmtId="0" xfId="0" applyAlignment="1" applyFont="1">
      <alignment readingOrder="0" vertical="bottom"/>
    </xf>
    <xf borderId="0" fillId="0" fontId="1" numFmtId="0" xfId="0" applyFont="1"/>
    <xf borderId="0" fillId="15" fontId="11" numFmtId="0" xfId="0" applyAlignment="1" applyFill="1" applyFont="1">
      <alignment readingOrder="0" vertical="top"/>
    </xf>
    <xf borderId="11" fillId="4" fontId="23" numFmtId="0" xfId="0" applyAlignment="1" applyBorder="1" applyFill="1" applyFont="1">
      <alignment readingOrder="0"/>
    </xf>
    <xf borderId="1" fillId="2" fontId="24" numFmtId="0" xfId="0" applyAlignment="1" applyBorder="1" applyFill="1" applyFont="1">
      <alignment horizontal="center" shrinkToFit="0" vertical="center" wrapText="1"/>
    </xf>
    <xf borderId="0" fillId="4" fontId="11" numFmtId="0" xfId="0" applyAlignment="1" applyFill="1" applyFont="1">
      <alignment readingOrder="0"/>
    </xf>
    <xf borderId="0" fillId="0" fontId="25" numFmtId="0" xfId="0" applyFont="1"/>
    <xf borderId="4" fillId="12" fontId="17" numFmtId="0" xfId="0" applyAlignment="1" applyBorder="1" applyFill="1" applyFont="1">
      <alignment horizontal="center" shrinkToFit="0" wrapText="1"/>
    </xf>
    <xf borderId="0" fillId="15" fontId="1" numFmtId="0" xfId="0" applyAlignment="1" applyFill="1" applyFont="1">
      <alignment vertical="top"/>
    </xf>
    <xf borderId="4" fillId="7" fontId="26" numFmtId="0" xfId="0" applyBorder="1" applyFill="1" applyFont="1"/>
    <xf borderId="4" fillId="9" fontId="20" numFmtId="0" xfId="0" applyAlignment="1" applyBorder="1" applyFill="1" applyFont="1">
      <alignment horizontal="center" readingOrder="0"/>
    </xf>
    <xf borderId="4" fillId="9" fontId="20" numFmtId="165" xfId="0" applyAlignment="1" applyBorder="1" applyFill="1" applyFont="1" applyNumberFormat="1">
      <alignment horizontal="center" readingOrder="0"/>
    </xf>
    <xf borderId="4" fillId="9" fontId="20" numFmtId="165" xfId="0" applyAlignment="1" applyBorder="1" applyFill="1" applyFont="1" applyNumberFormat="1">
      <alignment horizontal="center"/>
    </xf>
    <xf borderId="1" fillId="2" fontId="27" numFmtId="0" xfId="0" applyAlignment="1" applyBorder="1" applyFill="1" applyFont="1">
      <alignment horizontal="center" shrinkToFit="0" vertical="center" wrapText="1"/>
    </xf>
    <xf borderId="4" fillId="11" fontId="28" numFmtId="0" xfId="0" applyAlignment="1" applyBorder="1" applyFill="1" applyFont="1">
      <alignment horizontal="center" vertical="center"/>
    </xf>
    <xf borderId="5" fillId="11" fontId="29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5" fillId="11" fontId="32" numFmtId="0" xfId="0" applyAlignment="1" applyBorder="1" applyFill="1" applyFont="1">
      <alignment horizontal="left" readingOrder="0" shrinkToFit="0" vertical="center" wrapText="1"/>
    </xf>
    <xf borderId="4" fillId="16" fontId="33" numFmtId="0" xfId="0" applyAlignment="1" applyBorder="1" applyFill="1" applyFont="1">
      <alignment horizontal="center" vertical="center"/>
    </xf>
    <xf borderId="5" fillId="16" fontId="34" numFmtId="0" xfId="0" applyAlignment="1" applyBorder="1" applyFill="1" applyFont="1">
      <alignment horizontal="center" vertical="center"/>
    </xf>
    <xf borderId="5" fillId="16" fontId="34" numFmtId="0" xfId="0" applyAlignment="1" applyBorder="1" applyFill="1" applyFont="1">
      <alignment horizontal="center" readingOrder="0" vertical="center"/>
    </xf>
    <xf borderId="5" fillId="16" fontId="32" numFmtId="0" xfId="0" applyAlignment="1" applyBorder="1" applyFill="1" applyFont="1">
      <alignment horizontal="left" readingOrder="0" shrinkToFit="0" vertical="center" wrapText="1"/>
    </xf>
    <xf borderId="4" fillId="17" fontId="35" numFmtId="0" xfId="0" applyAlignment="1" applyBorder="1" applyFill="1" applyFont="1">
      <alignment horizontal="center" vertical="center"/>
    </xf>
    <xf borderId="5" fillId="17" fontId="36" numFmtId="0" xfId="0" applyAlignment="1" applyBorder="1" applyFill="1" applyFont="1">
      <alignment horizontal="center" vertical="center"/>
    </xf>
    <xf borderId="5" fillId="17" fontId="36" numFmtId="0" xfId="0" applyAlignment="1" applyBorder="1" applyFill="1" applyFont="1">
      <alignment horizontal="center" readingOrder="0" vertical="center"/>
    </xf>
    <xf borderId="5" fillId="17" fontId="32" numFmtId="0" xfId="0" applyAlignment="1" applyBorder="1" applyFill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vertical="top"/>
    </xf>
    <xf borderId="13" fillId="4" fontId="37" numFmtId="0" xfId="0" applyAlignment="1" applyBorder="1" applyFill="1" applyFont="1">
      <alignment readingOrder="0"/>
    </xf>
    <xf borderId="14" fillId="4" fontId="11" numFmtId="0" xfId="0" applyAlignment="1" applyBorder="1" applyFill="1" applyFont="1">
      <alignment readingOrder="0"/>
    </xf>
    <xf borderId="0" fillId="0" fontId="16" numFmtId="0" xfId="0" applyAlignment="1" applyFont="1">
      <alignment vertical="top"/>
    </xf>
    <xf borderId="0" fillId="4" fontId="1" numFmtId="0" xfId="0" applyAlignment="1" applyFill="1" applyFont="1">
      <alignment readingOrder="0" vertical="center"/>
    </xf>
    <xf borderId="0" fillId="4" fontId="1" numFmtId="0" xfId="0" applyAlignment="1" applyFill="1" applyFont="1">
      <alignment horizontal="left" readingOrder="0" vertical="center"/>
    </xf>
    <xf borderId="0" fillId="0" fontId="11" numFmtId="0" xfId="0" applyAlignment="1" applyFont="1">
      <alignment horizontal="center" readingOrder="0" vertical="center"/>
    </xf>
    <xf borderId="0" fillId="0" fontId="21" numFmtId="0" xfId="0" applyAlignment="1" applyFont="1">
      <alignment horizontal="left" readingOrder="0" shrinkToFit="0" vertical="center" wrapText="1"/>
    </xf>
    <xf borderId="16" fillId="0" fontId="1" numFmtId="0" xfId="0" applyAlignment="1" applyBorder="1" applyFont="1">
      <alignment vertical="top"/>
    </xf>
    <xf borderId="16" fillId="0" fontId="3" numFmtId="0" xfId="0" applyBorder="1" applyFont="1"/>
    <xf borderId="0" fillId="4" fontId="1" numFmtId="0" xfId="0" applyAlignment="1" applyFill="1" applyFont="1">
      <alignment vertical="top"/>
    </xf>
    <xf borderId="0" fillId="4" fontId="16" numFmtId="0" xfId="0" applyAlignment="1" applyFill="1" applyFont="1">
      <alignment vertical="top"/>
    </xf>
    <xf borderId="0" fillId="4" fontId="16" numFmtId="0" xfId="0" applyAlignment="1" applyFill="1" applyFont="1">
      <alignment readingOrder="0" vertical="top"/>
    </xf>
    <xf borderId="0" fillId="0" fontId="1" numFmtId="0" xfId="0" applyAlignment="1" applyFont="1">
      <alignment horizontal="center" shrinkToFit="0" wrapText="1"/>
    </xf>
    <xf borderId="0" fillId="4" fontId="38" numFmtId="0" xfId="0" applyAlignment="1" applyFill="1" applyFont="1">
      <alignment readingOrder="0" vertical="top"/>
    </xf>
    <xf borderId="0" fillId="0" fontId="1" numFmtId="0" xfId="0" applyAlignment="1" applyFont="1">
      <alignment readingOrder="0" shrinkToFit="0" vertical="bottom" wrapText="1"/>
    </xf>
    <xf borderId="0" fillId="4" fontId="16" numFmtId="0" xfId="0" applyAlignment="1" applyFill="1" applyFont="1">
      <alignment horizontal="left" readingOrder="0" vertical="top"/>
    </xf>
    <xf borderId="0" fillId="0" fontId="16" numFmtId="0" xfId="0" applyAlignment="1" applyFont="1">
      <alignment readingOrder="0" vertical="top"/>
    </xf>
    <xf borderId="8" fillId="4" fontId="39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 shrinkToFit="0" wrapText="1"/>
    </xf>
    <xf borderId="14" fillId="4" fontId="1" numFmtId="0" xfId="0" applyAlignment="1" applyBorder="1" applyFill="1" applyFont="1">
      <alignment readingOrder="0"/>
    </xf>
    <xf borderId="0" fillId="13" fontId="40" numFmtId="0" xfId="0" applyAlignment="1" applyFill="1" applyFont="1">
      <alignment readingOrder="0" vertical="top"/>
    </xf>
    <xf borderId="0" fillId="0" fontId="11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center" wrapText="1"/>
    </xf>
    <xf borderId="0" fillId="13" fontId="16" numFmtId="0" xfId="0" applyAlignment="1" applyFill="1" applyFont="1">
      <alignment readingOrder="0" vertical="center"/>
    </xf>
    <xf borderId="0" fillId="0" fontId="41" numFmtId="0" xfId="0" applyAlignment="1" applyFont="1">
      <alignment horizontal="left" vertical="center"/>
    </xf>
    <xf borderId="17" fillId="0" fontId="42" numFmtId="0" xfId="0" applyAlignment="1" applyBorder="1" applyFont="1">
      <alignment horizontal="left" vertical="center"/>
    </xf>
    <xf borderId="17" fillId="0" fontId="3" numFmtId="0" xfId="0" applyBorder="1" applyFont="1"/>
    <xf borderId="0" fillId="18" fontId="13" numFmtId="0" xfId="0" applyAlignment="1" applyFill="1" applyFont="1">
      <alignment horizontal="left" readingOrder="0" vertical="center"/>
    </xf>
    <xf borderId="0" fillId="4" fontId="42" numFmtId="0" xfId="0" applyAlignment="1" applyFill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42" numFmtId="0" xfId="0" applyAlignment="1" applyFont="1">
      <alignment horizontal="left" vertical="center"/>
    </xf>
    <xf borderId="0" fillId="0" fontId="43" numFmtId="0" xfId="0" applyAlignment="1" applyFont="1">
      <alignment horizontal="left" vertical="center"/>
    </xf>
    <xf borderId="0" fillId="5" fontId="7" numFmtId="0" xfId="0" applyAlignment="1" applyFill="1" applyFont="1">
      <alignment horizontal="left" readingOrder="0" vertical="center"/>
    </xf>
    <xf borderId="0" fillId="0" fontId="16" numFmtId="0" xfId="0" applyAlignment="1" applyFont="1">
      <alignment horizontal="left" readingOrder="0" vertical="center"/>
    </xf>
    <xf borderId="0" fillId="0" fontId="1" numFmtId="0" xfId="0" applyAlignment="1" applyFont="1">
      <alignment horizontal="center" shrinkToFit="0" vertical="center" wrapText="1"/>
    </xf>
    <xf borderId="0" fillId="4" fontId="16" numFmtId="0" xfId="0" applyAlignment="1" applyFill="1" applyFon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44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4" fontId="45" numFmtId="0" xfId="0" applyAlignment="1" applyFill="1" applyFont="1">
      <alignment horizontal="left" readingOrder="0" vertical="center"/>
    </xf>
    <xf borderId="0" fillId="4" fontId="7" numFmtId="0" xfId="0" applyAlignment="1" applyFill="1" applyFont="1">
      <alignment horizontal="left" readingOrder="0" vertical="center"/>
    </xf>
    <xf borderId="0" fillId="13" fontId="7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44" numFmtId="0" xfId="0" applyAlignment="1" applyFont="1">
      <alignment horizontal="left" readingOrder="0" vertical="center"/>
    </xf>
    <xf borderId="0" fillId="0" fontId="11" numFmtId="0" xfId="0" applyAlignment="1" applyFont="1">
      <alignment horizontal="left" readingOrder="0" vertical="center"/>
    </xf>
    <xf borderId="0" fillId="0" fontId="31" numFmtId="0" xfId="0" applyAlignment="1" applyFont="1">
      <alignment horizontal="left" vertical="center"/>
    </xf>
    <xf borderId="0" fillId="0" fontId="3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30" numFmtId="0" xfId="0" applyAlignment="1" applyFont="1">
      <alignment horizontal="center" vertical="center"/>
    </xf>
    <xf borderId="0" fillId="13" fontId="7" numFmtId="0" xfId="0" applyAlignment="1" applyFill="1" applyFont="1">
      <alignment readingOrder="0" vertical="center"/>
    </xf>
    <xf borderId="0" fillId="0" fontId="11" numFmtId="0" xfId="0" applyAlignment="1" applyFont="1">
      <alignment horizontal="center" vertical="center"/>
    </xf>
    <xf borderId="0" fillId="0" fontId="4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17" fillId="0" fontId="11" numFmtId="0" xfId="0" applyAlignment="1" applyBorder="1" applyFont="1">
      <alignment horizontal="left" vertical="center"/>
    </xf>
    <xf borderId="1" fillId="19" fontId="47" numFmtId="0" xfId="0" applyBorder="1" applyFill="1" applyFont="1"/>
    <xf borderId="1" fillId="20" fontId="48" numFmtId="0" xfId="0" applyAlignment="1" applyBorder="1" applyFill="1" applyFont="1">
      <alignment readingOrder="0" shrinkToFit="0" wrapText="1"/>
    </xf>
    <xf borderId="1" fillId="21" fontId="48" numFmtId="0" xfId="0" applyAlignment="1" applyBorder="1" applyFill="1" applyFont="1">
      <alignment readingOrder="0" shrinkToFit="0" wrapText="1"/>
    </xf>
    <xf borderId="0" fillId="0" fontId="30" numFmtId="0" xfId="0" applyAlignment="1" applyFont="1">
      <alignment horizontal="center" vertical="bottom"/>
    </xf>
    <xf borderId="0" fillId="0" fontId="49" numFmtId="0" xfId="0" applyFont="1"/>
    <xf borderId="1" fillId="19" fontId="50" numFmtId="0" xfId="0" applyAlignment="1" applyBorder="1" applyFill="1" applyFont="1">
      <alignment horizontal="center" shrinkToFit="0" vertical="center" wrapText="0"/>
    </xf>
    <xf borderId="1" fillId="10" fontId="51" numFmtId="0" xfId="0" applyAlignment="1" applyBorder="1" applyFill="1" applyFont="1">
      <alignment horizontal="center" shrinkToFit="0" vertical="center" wrapText="0"/>
    </xf>
    <xf borderId="1" fillId="22" fontId="27" numFmtId="0" xfId="0" applyAlignment="1" applyBorder="1" applyFill="1" applyFont="1">
      <alignment horizontal="center" shrinkToFit="0" vertical="center" wrapText="0"/>
    </xf>
    <xf borderId="18" fillId="23" fontId="52" numFmtId="0" xfId="0" applyAlignment="1" applyBorder="1" applyFill="1" applyFont="1">
      <alignment shrinkToFit="0" vertical="bottom" wrapText="0"/>
    </xf>
    <xf borderId="18" fillId="19" fontId="53" numFmtId="0" xfId="0" applyAlignment="1" applyBorder="1" applyFill="1" applyFont="1">
      <alignment horizontal="center" shrinkToFit="0" vertical="center" wrapText="0"/>
    </xf>
    <xf borderId="18" fillId="20" fontId="54" numFmtId="0" xfId="0" applyAlignment="1" applyBorder="1" applyFill="1" applyFont="1">
      <alignment horizontal="center" shrinkToFit="0" vertical="center" wrapText="0"/>
    </xf>
    <xf borderId="18" fillId="20" fontId="55" numFmtId="0" xfId="0" applyAlignment="1" applyBorder="1" applyFill="1" applyFont="1">
      <alignment horizontal="center" shrinkToFit="0" vertical="center" wrapText="0"/>
    </xf>
    <xf borderId="18" fillId="21" fontId="54" numFmtId="0" xfId="0" applyAlignment="1" applyBorder="1" applyFill="1" applyFont="1">
      <alignment horizontal="center" shrinkToFit="0" vertical="center" wrapText="0"/>
    </xf>
    <xf borderId="18" fillId="21" fontId="55" numFmtId="0" xfId="0" applyAlignment="1" applyBorder="1" applyFill="1" applyFont="1">
      <alignment horizontal="center" shrinkToFit="0" vertical="center" wrapText="0"/>
    </xf>
    <xf borderId="1" fillId="19" fontId="27" numFmtId="0" xfId="0" applyAlignment="1" applyBorder="1" applyFill="1" applyFont="1">
      <alignment horizontal="center" shrinkToFit="0" vertical="center" wrapText="0"/>
    </xf>
    <xf borderId="18" fillId="21" fontId="54" numFmtId="0" xfId="0" applyAlignment="1" applyBorder="1" applyFill="1" applyFont="1">
      <alignment horizontal="left" shrinkToFit="0" vertical="center" wrapText="0"/>
    </xf>
    <xf borderId="18" fillId="17" fontId="52" numFmtId="0" xfId="0" applyAlignment="1" applyBorder="1" applyFill="1" applyFont="1">
      <alignment horizontal="center" shrinkToFit="0" vertical="center" wrapText="0"/>
    </xf>
    <xf borderId="18" fillId="20" fontId="54" numFmtId="0" xfId="0" applyAlignment="1" applyBorder="1" applyFill="1" applyFont="1">
      <alignment horizontal="left" shrinkToFit="0" vertical="center" wrapText="0"/>
    </xf>
    <xf borderId="18" fillId="20" fontId="56" numFmtId="0" xfId="0" applyAlignment="1" applyBorder="1" applyFill="1" applyFont="1">
      <alignment horizontal="center" shrinkToFit="0" vertical="center" wrapText="0"/>
    </xf>
    <xf borderId="1" fillId="17" fontId="57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ftmanual.com/wp-content/uploads/2023/04/barbell-squat.web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liftmanual.com/front-plank-with-arm-lift/" TargetMode="External"/><Relationship Id="rId22" Type="http://schemas.openxmlformats.org/officeDocument/2006/relationships/hyperlink" Target="https://liftmanual.com/quadriceps-stretch/" TargetMode="External"/><Relationship Id="rId21" Type="http://schemas.openxmlformats.org/officeDocument/2006/relationships/hyperlink" Target="https://liftmanual.com/bridge-hip-abduction/" TargetMode="External"/><Relationship Id="rId24" Type="http://schemas.openxmlformats.org/officeDocument/2006/relationships/hyperlink" Target="https://liftmanual.com/cable-seated-row/" TargetMode="External"/><Relationship Id="rId23" Type="http://schemas.openxmlformats.org/officeDocument/2006/relationships/hyperlink" Target="https://liftmanual.com/dumbbell-split-squat/" TargetMode="External"/><Relationship Id="rId1" Type="http://schemas.openxmlformats.org/officeDocument/2006/relationships/hyperlink" Target="https://liftmanual.com/bridge-hip-abduction/" TargetMode="External"/><Relationship Id="rId2" Type="http://schemas.openxmlformats.org/officeDocument/2006/relationships/hyperlink" Target="https://liftmanual.com/quadriceps-stretch/" TargetMode="External"/><Relationship Id="rId3" Type="http://schemas.openxmlformats.org/officeDocument/2006/relationships/hyperlink" Target="https://liftmanual.com/wp-content/uploads/2023/04/kneeling-forward-hip-circles.webp" TargetMode="External"/><Relationship Id="rId4" Type="http://schemas.openxmlformats.org/officeDocument/2006/relationships/hyperlink" Target="https://liftmanual.com/smith-hip-thrust/" TargetMode="External"/><Relationship Id="rId9" Type="http://schemas.openxmlformats.org/officeDocument/2006/relationships/hyperlink" Target="https://liftmanual.com/wp-content/uploads/2023/04/standing-arms-circling.webp" TargetMode="External"/><Relationship Id="rId26" Type="http://schemas.openxmlformats.org/officeDocument/2006/relationships/hyperlink" Target="https://liftmanual.com/wp-content/uploads/2023/04/weighted-cossack-squats.webp" TargetMode="External"/><Relationship Id="rId25" Type="http://schemas.openxmlformats.org/officeDocument/2006/relationships/hyperlink" Target="https://liftmanual.com/wp-content/uploads/2023/04/rounded-back-extension.webp" TargetMode="External"/><Relationship Id="rId27" Type="http://schemas.openxmlformats.org/officeDocument/2006/relationships/drawing" Target="../drawings/drawing3.xml"/><Relationship Id="rId5" Type="http://schemas.openxmlformats.org/officeDocument/2006/relationships/hyperlink" Target="https://liftmanual.com/dumbbell-push-press/" TargetMode="External"/><Relationship Id="rId6" Type="http://schemas.openxmlformats.org/officeDocument/2006/relationships/hyperlink" Target="https://liftmanual.com/dumbbell-walking-lunges/" TargetMode="External"/><Relationship Id="rId7" Type="http://schemas.openxmlformats.org/officeDocument/2006/relationships/hyperlink" Target="https://liftmanual.com/dumbbell-one-arm-bent-over-row/" TargetMode="External"/><Relationship Id="rId8" Type="http://schemas.openxmlformats.org/officeDocument/2006/relationships/hyperlink" Target="https://liftmanual.com/kettlebell-swing/" TargetMode="External"/><Relationship Id="rId11" Type="http://schemas.openxmlformats.org/officeDocument/2006/relationships/hyperlink" Target="https://liftmanual.com/worlds-greatest-stretch/" TargetMode="External"/><Relationship Id="rId10" Type="http://schemas.openxmlformats.org/officeDocument/2006/relationships/hyperlink" Target="https://liftmanual.com/lying-back-extension-with-press/" TargetMode="External"/><Relationship Id="rId13" Type="http://schemas.openxmlformats.org/officeDocument/2006/relationships/hyperlink" Target="https://liftmanual.com/wp-content/uploads/2023/04/dumbbell-deadlift-bent-over-row.webp" TargetMode="External"/><Relationship Id="rId12" Type="http://schemas.openxmlformats.org/officeDocument/2006/relationships/hyperlink" Target="https://liftmanual.com/cat-cow-stretch/" TargetMode="External"/><Relationship Id="rId15" Type="http://schemas.openxmlformats.org/officeDocument/2006/relationships/hyperlink" Target="https://liftmanual.com/push-press/" TargetMode="External"/><Relationship Id="rId14" Type="http://schemas.openxmlformats.org/officeDocument/2006/relationships/hyperlink" Target="https://liftmanual.com/wp-content/uploads/2023/04/cable-wide-grip-lat-pulldown.gif" TargetMode="External"/><Relationship Id="rId17" Type="http://schemas.openxmlformats.org/officeDocument/2006/relationships/hyperlink" Target="https://liftmanual.com/wp-content/uploads/2023/04/dumbbell-plank-pass-through.webp" TargetMode="External"/><Relationship Id="rId16" Type="http://schemas.openxmlformats.org/officeDocument/2006/relationships/hyperlink" Target="https://liftmanual.com/wp-content/uploads/2023/04/dumbbell-decline-twist-fly.webp" TargetMode="External"/><Relationship Id="rId19" Type="http://schemas.openxmlformats.org/officeDocument/2006/relationships/hyperlink" Target="https://liftmanual.com/leg-raise-hip-lift/" TargetMode="External"/><Relationship Id="rId18" Type="http://schemas.openxmlformats.org/officeDocument/2006/relationships/hyperlink" Target="https://liftmanual.com/wp-content/uploads/2023/04/opposite-crunch.webp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liftmanual.com/front-plank-with-arm-lift/" TargetMode="External"/><Relationship Id="rId22" Type="http://schemas.openxmlformats.org/officeDocument/2006/relationships/hyperlink" Target="https://liftmanual.com/quadriceps-stretch/" TargetMode="External"/><Relationship Id="rId21" Type="http://schemas.openxmlformats.org/officeDocument/2006/relationships/hyperlink" Target="https://liftmanual.com/bridge-hip-abduction/" TargetMode="External"/><Relationship Id="rId24" Type="http://schemas.openxmlformats.org/officeDocument/2006/relationships/hyperlink" Target="https://liftmanual.com/cable-seated-row/" TargetMode="External"/><Relationship Id="rId23" Type="http://schemas.openxmlformats.org/officeDocument/2006/relationships/hyperlink" Target="https://liftmanual.com/dumbbell-split-squat/" TargetMode="External"/><Relationship Id="rId1" Type="http://schemas.openxmlformats.org/officeDocument/2006/relationships/hyperlink" Target="https://liftmanual.com/bridge-hip-abduction/" TargetMode="External"/><Relationship Id="rId2" Type="http://schemas.openxmlformats.org/officeDocument/2006/relationships/hyperlink" Target="https://liftmanual.com/quadriceps-stretch/" TargetMode="External"/><Relationship Id="rId3" Type="http://schemas.openxmlformats.org/officeDocument/2006/relationships/hyperlink" Target="https://liftmanual.com/wp-content/uploads/2023/04/kneeling-forward-hip-circles.webp" TargetMode="External"/><Relationship Id="rId4" Type="http://schemas.openxmlformats.org/officeDocument/2006/relationships/hyperlink" Target="https://liftmanual.com/smith-hip-thrust/" TargetMode="External"/><Relationship Id="rId9" Type="http://schemas.openxmlformats.org/officeDocument/2006/relationships/hyperlink" Target="https://liftmanual.com/wp-content/uploads/2023/04/standing-arms-circling.webp" TargetMode="External"/><Relationship Id="rId26" Type="http://schemas.openxmlformats.org/officeDocument/2006/relationships/hyperlink" Target="https://liftmanual.com/wp-content/uploads/2023/04/weighted-cossack-squats.webp" TargetMode="External"/><Relationship Id="rId25" Type="http://schemas.openxmlformats.org/officeDocument/2006/relationships/hyperlink" Target="https://liftmanual.com/wp-content/uploads/2023/04/rounded-back-extension.webp" TargetMode="External"/><Relationship Id="rId27" Type="http://schemas.openxmlformats.org/officeDocument/2006/relationships/drawing" Target="../drawings/drawing4.xml"/><Relationship Id="rId5" Type="http://schemas.openxmlformats.org/officeDocument/2006/relationships/hyperlink" Target="https://liftmanual.com/dumbbell-push-press/" TargetMode="External"/><Relationship Id="rId6" Type="http://schemas.openxmlformats.org/officeDocument/2006/relationships/hyperlink" Target="https://liftmanual.com/dumbbell-walking-lunges/" TargetMode="External"/><Relationship Id="rId7" Type="http://schemas.openxmlformats.org/officeDocument/2006/relationships/hyperlink" Target="https://liftmanual.com/dumbbell-one-arm-bent-over-row/" TargetMode="External"/><Relationship Id="rId8" Type="http://schemas.openxmlformats.org/officeDocument/2006/relationships/hyperlink" Target="https://liftmanual.com/kettlebell-swing/" TargetMode="External"/><Relationship Id="rId11" Type="http://schemas.openxmlformats.org/officeDocument/2006/relationships/hyperlink" Target="https://liftmanual.com/worlds-greatest-stretch/" TargetMode="External"/><Relationship Id="rId10" Type="http://schemas.openxmlformats.org/officeDocument/2006/relationships/hyperlink" Target="https://liftmanual.com/lying-back-extension-with-press/" TargetMode="External"/><Relationship Id="rId13" Type="http://schemas.openxmlformats.org/officeDocument/2006/relationships/hyperlink" Target="https://liftmanual.com/dumbbell-deadlift-bent-over-row/" TargetMode="External"/><Relationship Id="rId12" Type="http://schemas.openxmlformats.org/officeDocument/2006/relationships/hyperlink" Target="https://liftmanual.com/cat-cow-stretch/" TargetMode="External"/><Relationship Id="rId15" Type="http://schemas.openxmlformats.org/officeDocument/2006/relationships/hyperlink" Target="https://liftmanual.com/push-press/" TargetMode="External"/><Relationship Id="rId14" Type="http://schemas.openxmlformats.org/officeDocument/2006/relationships/hyperlink" Target="https://liftmanual.com/wp-content/uploads/2023/04/cable-wide-grip-lat-pulldown.gif" TargetMode="External"/><Relationship Id="rId17" Type="http://schemas.openxmlformats.org/officeDocument/2006/relationships/hyperlink" Target="https://liftmanual.com/wp-content/uploads/2023/04/dumbbell-plank-pass-through.webp" TargetMode="External"/><Relationship Id="rId16" Type="http://schemas.openxmlformats.org/officeDocument/2006/relationships/hyperlink" Target="https://liftmanual.com/wp-content/uploads/2023/04/dumbbell-decline-twist-fly.webp" TargetMode="External"/><Relationship Id="rId19" Type="http://schemas.openxmlformats.org/officeDocument/2006/relationships/hyperlink" Target="https://liftmanual.com/leg-raise-hip-lift/" TargetMode="External"/><Relationship Id="rId18" Type="http://schemas.openxmlformats.org/officeDocument/2006/relationships/hyperlink" Target="https://liftmanual.com/wp-content/uploads/2023/04/opposite-crunch.webp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liftmanual.com/front-plank-with-arm-lift/" TargetMode="External"/><Relationship Id="rId22" Type="http://schemas.openxmlformats.org/officeDocument/2006/relationships/hyperlink" Target="https://liftmanual.com/quadriceps-stretch/" TargetMode="External"/><Relationship Id="rId21" Type="http://schemas.openxmlformats.org/officeDocument/2006/relationships/hyperlink" Target="https://liftmanual.com/bridge-hip-abduction/" TargetMode="External"/><Relationship Id="rId24" Type="http://schemas.openxmlformats.org/officeDocument/2006/relationships/hyperlink" Target="https://liftmanual.com/cable-seated-row/" TargetMode="External"/><Relationship Id="rId23" Type="http://schemas.openxmlformats.org/officeDocument/2006/relationships/hyperlink" Target="https://liftmanual.com/dumbbell-split-squat/" TargetMode="External"/><Relationship Id="rId1" Type="http://schemas.openxmlformats.org/officeDocument/2006/relationships/hyperlink" Target="https://liftmanual.com/bridge-hip-abduction/" TargetMode="External"/><Relationship Id="rId2" Type="http://schemas.openxmlformats.org/officeDocument/2006/relationships/hyperlink" Target="https://liftmanual.com/quadriceps-stretch/" TargetMode="External"/><Relationship Id="rId3" Type="http://schemas.openxmlformats.org/officeDocument/2006/relationships/hyperlink" Target="https://liftmanual.com/wp-content/uploads/2023/04/kneeling-forward-hip-circles.webp" TargetMode="External"/><Relationship Id="rId4" Type="http://schemas.openxmlformats.org/officeDocument/2006/relationships/hyperlink" Target="https://liftmanual.com/smith-hip-thrust/" TargetMode="External"/><Relationship Id="rId9" Type="http://schemas.openxmlformats.org/officeDocument/2006/relationships/hyperlink" Target="https://liftmanual.com/wp-content/uploads/2023/04/standing-arms-circling.webp" TargetMode="External"/><Relationship Id="rId26" Type="http://schemas.openxmlformats.org/officeDocument/2006/relationships/hyperlink" Target="https://liftmanual.com/wp-content/uploads/2023/04/weighted-cossack-squats.webp" TargetMode="External"/><Relationship Id="rId25" Type="http://schemas.openxmlformats.org/officeDocument/2006/relationships/hyperlink" Target="https://liftmanual.com/wp-content/uploads/2023/04/rounded-back-extension.webp" TargetMode="External"/><Relationship Id="rId27" Type="http://schemas.openxmlformats.org/officeDocument/2006/relationships/drawing" Target="../drawings/drawing5.xml"/><Relationship Id="rId5" Type="http://schemas.openxmlformats.org/officeDocument/2006/relationships/hyperlink" Target="https://liftmanual.com/dumbbell-push-press/" TargetMode="External"/><Relationship Id="rId6" Type="http://schemas.openxmlformats.org/officeDocument/2006/relationships/hyperlink" Target="https://liftmanual.com/dumbbell-walking-lunges/" TargetMode="External"/><Relationship Id="rId7" Type="http://schemas.openxmlformats.org/officeDocument/2006/relationships/hyperlink" Target="https://liftmanual.com/dumbbell-one-arm-bent-over-row/" TargetMode="External"/><Relationship Id="rId8" Type="http://schemas.openxmlformats.org/officeDocument/2006/relationships/hyperlink" Target="https://liftmanual.com/kettlebell-swing/" TargetMode="External"/><Relationship Id="rId11" Type="http://schemas.openxmlformats.org/officeDocument/2006/relationships/hyperlink" Target="https://liftmanual.com/worlds-greatest-stretch/" TargetMode="External"/><Relationship Id="rId10" Type="http://schemas.openxmlformats.org/officeDocument/2006/relationships/hyperlink" Target="https://liftmanual.com/lying-back-extension-with-press/" TargetMode="External"/><Relationship Id="rId13" Type="http://schemas.openxmlformats.org/officeDocument/2006/relationships/hyperlink" Target="https://liftmanual.com/dumbbell-deadlift-bent-over-row/" TargetMode="External"/><Relationship Id="rId12" Type="http://schemas.openxmlformats.org/officeDocument/2006/relationships/hyperlink" Target="https://liftmanual.com/cat-cow-stretch/" TargetMode="External"/><Relationship Id="rId15" Type="http://schemas.openxmlformats.org/officeDocument/2006/relationships/hyperlink" Target="https://liftmanual.com/push-press/" TargetMode="External"/><Relationship Id="rId14" Type="http://schemas.openxmlformats.org/officeDocument/2006/relationships/hyperlink" Target="https://liftmanual.com/wp-content/uploads/2023/04/cable-wide-grip-lat-pulldown.gif" TargetMode="External"/><Relationship Id="rId17" Type="http://schemas.openxmlformats.org/officeDocument/2006/relationships/hyperlink" Target="https://liftmanual.com/wp-content/uploads/2023/04/dumbbell-plank-pass-through.webp" TargetMode="External"/><Relationship Id="rId16" Type="http://schemas.openxmlformats.org/officeDocument/2006/relationships/hyperlink" Target="https://liftmanual.com/wp-content/uploads/2023/04/dumbbell-decline-twist-fly.webp" TargetMode="External"/><Relationship Id="rId19" Type="http://schemas.openxmlformats.org/officeDocument/2006/relationships/hyperlink" Target="https://liftmanual.com/leg-raise-hip-lift/" TargetMode="External"/><Relationship Id="rId18" Type="http://schemas.openxmlformats.org/officeDocument/2006/relationships/hyperlink" Target="https://liftmanual.com/wp-content/uploads/2023/04/opposite-crunch.webp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liftmanual.com/front-plank-with-arm-lift/" TargetMode="External"/><Relationship Id="rId22" Type="http://schemas.openxmlformats.org/officeDocument/2006/relationships/hyperlink" Target="https://liftmanual.com/quadriceps-stretch/" TargetMode="External"/><Relationship Id="rId21" Type="http://schemas.openxmlformats.org/officeDocument/2006/relationships/hyperlink" Target="https://liftmanual.com/bridge-hip-abduction/" TargetMode="External"/><Relationship Id="rId24" Type="http://schemas.openxmlformats.org/officeDocument/2006/relationships/hyperlink" Target="https://liftmanual.com/cable-seated-row/" TargetMode="External"/><Relationship Id="rId23" Type="http://schemas.openxmlformats.org/officeDocument/2006/relationships/hyperlink" Target="https://liftmanual.com/dumbbell-split-squat/" TargetMode="External"/><Relationship Id="rId1" Type="http://schemas.openxmlformats.org/officeDocument/2006/relationships/hyperlink" Target="https://liftmanual.com/bridge-hip-abduction/" TargetMode="External"/><Relationship Id="rId2" Type="http://schemas.openxmlformats.org/officeDocument/2006/relationships/hyperlink" Target="https://liftmanual.com/quadriceps-stretch/" TargetMode="External"/><Relationship Id="rId3" Type="http://schemas.openxmlformats.org/officeDocument/2006/relationships/hyperlink" Target="https://liftmanual.com/wp-content/uploads/2023/04/kneeling-forward-hip-circles.webp" TargetMode="External"/><Relationship Id="rId4" Type="http://schemas.openxmlformats.org/officeDocument/2006/relationships/hyperlink" Target="https://liftmanual.com/smith-hip-thrust/" TargetMode="External"/><Relationship Id="rId9" Type="http://schemas.openxmlformats.org/officeDocument/2006/relationships/hyperlink" Target="https://liftmanual.com/wp-content/uploads/2023/04/standing-arms-circling.webp" TargetMode="External"/><Relationship Id="rId26" Type="http://schemas.openxmlformats.org/officeDocument/2006/relationships/hyperlink" Target="https://liftmanual.com/wp-content/uploads/2023/04/weighted-cossack-squats.webp" TargetMode="External"/><Relationship Id="rId25" Type="http://schemas.openxmlformats.org/officeDocument/2006/relationships/hyperlink" Target="https://liftmanual.com/wp-content/uploads/2023/04/rounded-back-extension.webp" TargetMode="External"/><Relationship Id="rId27" Type="http://schemas.openxmlformats.org/officeDocument/2006/relationships/drawing" Target="../drawings/drawing6.xml"/><Relationship Id="rId5" Type="http://schemas.openxmlformats.org/officeDocument/2006/relationships/hyperlink" Target="https://liftmanual.com/dumbbell-push-press/" TargetMode="External"/><Relationship Id="rId6" Type="http://schemas.openxmlformats.org/officeDocument/2006/relationships/hyperlink" Target="https://liftmanual.com/dumbbell-walking-lunges/" TargetMode="External"/><Relationship Id="rId7" Type="http://schemas.openxmlformats.org/officeDocument/2006/relationships/hyperlink" Target="https://liftmanual.com/dumbbell-one-arm-bent-over-row/" TargetMode="External"/><Relationship Id="rId8" Type="http://schemas.openxmlformats.org/officeDocument/2006/relationships/hyperlink" Target="https://liftmanual.com/kettlebell-swing/" TargetMode="External"/><Relationship Id="rId11" Type="http://schemas.openxmlformats.org/officeDocument/2006/relationships/hyperlink" Target="https://liftmanual.com/worlds-greatest-stretch/" TargetMode="External"/><Relationship Id="rId10" Type="http://schemas.openxmlformats.org/officeDocument/2006/relationships/hyperlink" Target="https://liftmanual.com/lying-back-extension-with-press/" TargetMode="External"/><Relationship Id="rId13" Type="http://schemas.openxmlformats.org/officeDocument/2006/relationships/hyperlink" Target="https://liftmanual.com/dumbbell-deadlift-bent-over-row/" TargetMode="External"/><Relationship Id="rId12" Type="http://schemas.openxmlformats.org/officeDocument/2006/relationships/hyperlink" Target="https://liftmanual.com/cat-cow-stretch/" TargetMode="External"/><Relationship Id="rId15" Type="http://schemas.openxmlformats.org/officeDocument/2006/relationships/hyperlink" Target="https://liftmanual.com/push-press/" TargetMode="External"/><Relationship Id="rId14" Type="http://schemas.openxmlformats.org/officeDocument/2006/relationships/hyperlink" Target="https://liftmanual.com/wp-content/uploads/2023/04/cable-wide-grip-lat-pulldown.gif" TargetMode="External"/><Relationship Id="rId17" Type="http://schemas.openxmlformats.org/officeDocument/2006/relationships/hyperlink" Target="https://liftmanual.com/wp-content/uploads/2023/04/dumbbell-plank-pass-through.webp" TargetMode="External"/><Relationship Id="rId16" Type="http://schemas.openxmlformats.org/officeDocument/2006/relationships/hyperlink" Target="https://liftmanual.com/wp-content/uploads/2023/04/dumbbell-decline-twist-fly.webp" TargetMode="External"/><Relationship Id="rId19" Type="http://schemas.openxmlformats.org/officeDocument/2006/relationships/hyperlink" Target="https://liftmanual.com/leg-raise-hip-lift/" TargetMode="External"/><Relationship Id="rId18" Type="http://schemas.openxmlformats.org/officeDocument/2006/relationships/hyperlink" Target="https://liftmanual.com/wp-content/uploads/2023/04/opposite-crunch.webp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12.25"/>
    <col customWidth="1" min="3" max="3" width="11.63"/>
    <col customWidth="1" min="4" max="4" width="13.0"/>
    <col customWidth="1" min="5" max="5" width="12.0"/>
    <col customWidth="1" min="6" max="6" width="11.88"/>
    <col customWidth="1" min="7" max="7" width="29.0"/>
    <col customWidth="1" min="8" max="12" width="8.75"/>
    <col customWidth="1" min="13" max="26" width="7.5"/>
  </cols>
  <sheetData>
    <row r="1" ht="49.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</row>
    <row r="2" ht="14.25" customHeight="1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6"/>
    </row>
    <row r="3" ht="14.25" customHeight="1"/>
    <row r="4" ht="15.0" customHeight="1">
      <c r="A4" s="12" t="s">
        <v>4</v>
      </c>
      <c r="B4" s="4"/>
      <c r="C4" s="4"/>
      <c r="D4" s="4"/>
      <c r="E4" s="4"/>
      <c r="F4" s="6"/>
    </row>
    <row r="5" ht="21.75" customHeight="1">
      <c r="A5" s="14" t="s">
        <v>9</v>
      </c>
      <c r="B5" s="16" t="s">
        <v>11</v>
      </c>
      <c r="C5" s="18"/>
      <c r="D5" s="18"/>
      <c r="E5" s="18"/>
      <c r="F5" s="20"/>
    </row>
    <row r="6" ht="21.75" customHeight="1">
      <c r="A6" s="14" t="s">
        <v>17</v>
      </c>
      <c r="B6" s="16" t="s">
        <v>18</v>
      </c>
      <c r="C6" s="18"/>
      <c r="D6" s="18"/>
      <c r="E6" s="18"/>
      <c r="F6" s="20"/>
    </row>
    <row r="7" ht="21.75" customHeight="1">
      <c r="A7" s="14" t="s">
        <v>19</v>
      </c>
      <c r="B7" s="22" t="s">
        <v>20</v>
      </c>
      <c r="C7" s="18"/>
      <c r="D7" s="18"/>
      <c r="E7" s="18"/>
      <c r="F7" s="20"/>
    </row>
    <row r="8" ht="21.75" customHeight="1">
      <c r="A8" s="24" t="s">
        <v>22</v>
      </c>
      <c r="B8" s="22" t="s">
        <v>23</v>
      </c>
      <c r="C8" s="18"/>
      <c r="D8" s="18"/>
      <c r="E8" s="18"/>
      <c r="F8" s="20"/>
    </row>
    <row r="9" ht="14.25" customHeight="1"/>
    <row r="10" ht="14.25" customHeight="1"/>
    <row r="11" ht="9.75" customHeight="1"/>
    <row r="12" ht="15.0" customHeight="1">
      <c r="A12" s="29" t="s">
        <v>25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6"/>
    </row>
    <row r="13" ht="14.25" customHeight="1">
      <c r="A13" s="33" t="s">
        <v>28</v>
      </c>
      <c r="B13" s="18"/>
      <c r="C13" s="18"/>
      <c r="D13" s="20"/>
      <c r="E13" s="34" t="s">
        <v>30</v>
      </c>
      <c r="F13" s="20"/>
      <c r="G13" s="36" t="s">
        <v>31</v>
      </c>
      <c r="H13" s="36" t="s">
        <v>32</v>
      </c>
      <c r="I13" s="36" t="s">
        <v>34</v>
      </c>
      <c r="J13" s="36" t="s">
        <v>35</v>
      </c>
      <c r="K13" s="36" t="s">
        <v>36</v>
      </c>
      <c r="L13" s="36" t="s">
        <v>37</v>
      </c>
    </row>
    <row r="14" ht="21.75" customHeight="1">
      <c r="A14" s="40" t="s">
        <v>38</v>
      </c>
      <c r="B14" s="18"/>
      <c r="C14" s="18"/>
      <c r="D14" s="20"/>
      <c r="E14" s="42"/>
      <c r="F14" s="20"/>
      <c r="G14" s="48">
        <f t="shared" ref="G14:G16" si="1">ROUND(E14*0.5/2.5,0)*2.5</f>
        <v>0</v>
      </c>
      <c r="H14" s="48">
        <f t="shared" ref="H14:H16" si="2">ROUND(E14*0.6/2.5,0)*2.5</f>
        <v>0</v>
      </c>
      <c r="I14" s="48">
        <f t="shared" ref="I14:I16" si="3">ROUND(E14*0.7/2.5,0)*2.5</f>
        <v>0</v>
      </c>
      <c r="J14" s="48">
        <f t="shared" ref="J14:J16" si="4">ROUND(E14*0.75/2.5,0)*2.5</f>
        <v>0</v>
      </c>
      <c r="K14" s="48">
        <f t="shared" ref="K14:K16" si="5">ROUND(E14*0.8/2.5,0)*2.5</f>
        <v>0</v>
      </c>
      <c r="L14" s="48">
        <f t="shared" ref="L14:L16" si="6">ROUND(E14*0.85/2.5,0)*2.5</f>
        <v>0</v>
      </c>
    </row>
    <row r="15" ht="21.75" customHeight="1">
      <c r="A15" s="40" t="s">
        <v>59</v>
      </c>
      <c r="B15" s="18"/>
      <c r="C15" s="18"/>
      <c r="D15" s="20"/>
      <c r="E15" s="42"/>
      <c r="F15" s="20"/>
      <c r="G15" s="48">
        <f t="shared" si="1"/>
        <v>0</v>
      </c>
      <c r="H15" s="48">
        <f t="shared" si="2"/>
        <v>0</v>
      </c>
      <c r="I15" s="48">
        <f t="shared" si="3"/>
        <v>0</v>
      </c>
      <c r="J15" s="48">
        <f t="shared" si="4"/>
        <v>0</v>
      </c>
      <c r="K15" s="48">
        <f t="shared" si="5"/>
        <v>0</v>
      </c>
      <c r="L15" s="48">
        <f t="shared" si="6"/>
        <v>0</v>
      </c>
    </row>
    <row r="16" ht="21.75" customHeight="1">
      <c r="A16" s="40" t="s">
        <v>62</v>
      </c>
      <c r="B16" s="18"/>
      <c r="C16" s="18"/>
      <c r="D16" s="20"/>
      <c r="E16" s="42"/>
      <c r="F16" s="20"/>
      <c r="G16" s="48">
        <f t="shared" si="1"/>
        <v>0</v>
      </c>
      <c r="H16" s="48">
        <f t="shared" si="2"/>
        <v>0</v>
      </c>
      <c r="I16" s="48">
        <f t="shared" si="3"/>
        <v>0</v>
      </c>
      <c r="J16" s="48">
        <f t="shared" si="4"/>
        <v>0</v>
      </c>
      <c r="K16" s="48">
        <f t="shared" si="5"/>
        <v>0</v>
      </c>
      <c r="L16" s="48">
        <f t="shared" si="6"/>
        <v>0</v>
      </c>
    </row>
    <row r="17" ht="9.75" customHeight="1"/>
    <row r="18" ht="9.75" customHeight="1"/>
    <row r="19" ht="15.0" customHeight="1">
      <c r="A19" s="64" t="s">
        <v>65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30.0" customHeight="1">
      <c r="A20" s="67" t="s">
        <v>69</v>
      </c>
      <c r="B20" s="67" t="s">
        <v>70</v>
      </c>
      <c r="C20" s="67" t="s">
        <v>71</v>
      </c>
      <c r="D20" s="67" t="s">
        <v>72</v>
      </c>
      <c r="E20" s="67" t="s">
        <v>73</v>
      </c>
      <c r="F20" s="67" t="s">
        <v>75</v>
      </c>
    </row>
    <row r="21" ht="21.75" customHeight="1">
      <c r="A21" s="69" t="s">
        <v>76</v>
      </c>
      <c r="B21" s="70"/>
      <c r="C21" s="71" t="s">
        <v>77</v>
      </c>
      <c r="D21" s="71" t="s">
        <v>77</v>
      </c>
      <c r="E21" s="72"/>
      <c r="F21" s="72"/>
    </row>
    <row r="22" ht="14.25" customHeight="1"/>
    <row r="23" ht="9.75" customHeight="1"/>
    <row r="24" ht="15.0" customHeight="1">
      <c r="A24" s="73" t="s">
        <v>79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6"/>
    </row>
    <row r="25" ht="30.0" customHeight="1">
      <c r="A25" s="74" t="s">
        <v>80</v>
      </c>
      <c r="B25" s="75" t="s">
        <v>81</v>
      </c>
      <c r="C25" s="20"/>
      <c r="D25" s="75" t="s">
        <v>83</v>
      </c>
      <c r="E25" s="20"/>
      <c r="F25" s="79" t="s">
        <v>86</v>
      </c>
      <c r="G25" s="18"/>
      <c r="H25" s="18"/>
      <c r="I25" s="18"/>
      <c r="J25" s="18"/>
      <c r="K25" s="18"/>
      <c r="L25" s="20"/>
    </row>
    <row r="26" ht="30.0" customHeight="1">
      <c r="A26" s="80" t="s">
        <v>88</v>
      </c>
      <c r="B26" s="81" t="s">
        <v>89</v>
      </c>
      <c r="C26" s="20"/>
      <c r="D26" s="82" t="s">
        <v>90</v>
      </c>
      <c r="E26" s="20"/>
      <c r="F26" s="83" t="s">
        <v>93</v>
      </c>
      <c r="G26" s="18"/>
      <c r="H26" s="18"/>
      <c r="I26" s="18"/>
      <c r="J26" s="18"/>
      <c r="K26" s="18"/>
      <c r="L26" s="20"/>
    </row>
    <row r="27" ht="30.0" customHeight="1">
      <c r="A27" s="84" t="s">
        <v>96</v>
      </c>
      <c r="B27" s="85" t="s">
        <v>99</v>
      </c>
      <c r="C27" s="20"/>
      <c r="D27" s="86" t="s">
        <v>100</v>
      </c>
      <c r="E27" s="20"/>
      <c r="F27" s="87" t="s">
        <v>102</v>
      </c>
      <c r="G27" s="18"/>
      <c r="H27" s="18"/>
      <c r="I27" s="18"/>
      <c r="J27" s="18"/>
      <c r="K27" s="18"/>
      <c r="L27" s="20"/>
    </row>
    <row r="28" ht="14.25" customHeight="1"/>
    <row r="29" ht="9.7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27">
    <mergeCell ref="A1:L1"/>
    <mergeCell ref="A2:L2"/>
    <mergeCell ref="A4:F4"/>
    <mergeCell ref="B5:F5"/>
    <mergeCell ref="B6:F6"/>
    <mergeCell ref="B7:F7"/>
    <mergeCell ref="B8:F8"/>
    <mergeCell ref="A12:L12"/>
    <mergeCell ref="A13:D13"/>
    <mergeCell ref="E13:F13"/>
    <mergeCell ref="A14:D14"/>
    <mergeCell ref="E14:F14"/>
    <mergeCell ref="A15:D15"/>
    <mergeCell ref="E15:F15"/>
    <mergeCell ref="B26:C26"/>
    <mergeCell ref="D26:E26"/>
    <mergeCell ref="F26:L26"/>
    <mergeCell ref="B27:C27"/>
    <mergeCell ref="D27:E27"/>
    <mergeCell ref="F27:L27"/>
    <mergeCell ref="A16:D16"/>
    <mergeCell ref="E16:F16"/>
    <mergeCell ref="A19:L19"/>
    <mergeCell ref="A24:L24"/>
    <mergeCell ref="B25:C25"/>
    <mergeCell ref="D25:E25"/>
    <mergeCell ref="F25:L2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7.63"/>
    <col customWidth="1" min="3" max="3" width="23.63"/>
    <col customWidth="1" min="4" max="4" width="24.0"/>
  </cols>
  <sheetData>
    <row r="1" ht="30.7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7"/>
      <c r="B2" s="7"/>
      <c r="C2" s="7"/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7"/>
      <c r="B3" s="7"/>
      <c r="C3" s="7"/>
      <c r="D3" s="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7"/>
      <c r="B4" s="7"/>
      <c r="C4" s="7"/>
      <c r="D4" s="7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33.75" customHeight="1">
      <c r="A5" s="7"/>
      <c r="B5" s="11" t="s">
        <v>3</v>
      </c>
      <c r="C5" s="11" t="s">
        <v>5</v>
      </c>
      <c r="D5" s="11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27" t="s">
        <v>8</v>
      </c>
      <c r="B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32"/>
      <c r="B7" s="30"/>
      <c r="C7" s="30"/>
      <c r="D7" s="3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35"/>
      <c r="B8" s="30"/>
      <c r="C8" s="30"/>
      <c r="D8" s="37" t="s">
        <v>33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41" t="s">
        <v>39</v>
      </c>
      <c r="B9" s="43" t="s">
        <v>41</v>
      </c>
      <c r="C9" s="44">
        <v>8.0</v>
      </c>
      <c r="D9" s="45" t="s">
        <v>42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46" t="s">
        <v>47</v>
      </c>
      <c r="B10" s="47" t="s">
        <v>48</v>
      </c>
      <c r="C10" s="50">
        <v>6.0</v>
      </c>
      <c r="D10" s="51" t="s">
        <v>42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46" t="s">
        <v>50</v>
      </c>
      <c r="B11" s="47" t="s">
        <v>51</v>
      </c>
      <c r="C11" s="50">
        <v>5.0</v>
      </c>
      <c r="D11" s="51" t="s">
        <v>42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46" t="s">
        <v>53</v>
      </c>
      <c r="B12" s="47" t="s">
        <v>54</v>
      </c>
      <c r="C12" s="50">
        <v>3.0</v>
      </c>
      <c r="D12" s="51" t="s">
        <v>42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46" t="s">
        <v>56</v>
      </c>
      <c r="B13" s="47" t="s">
        <v>57</v>
      </c>
      <c r="C13" s="50">
        <v>3.0</v>
      </c>
      <c r="D13" s="51" t="s">
        <v>42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54" t="s">
        <v>58</v>
      </c>
      <c r="B14" s="56" t="s">
        <v>60</v>
      </c>
      <c r="C14" s="58">
        <v>5.0</v>
      </c>
      <c r="D14" s="59" t="s">
        <v>42</v>
      </c>
      <c r="E14" s="60">
        <v>50.0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62" t="s">
        <v>64</v>
      </c>
      <c r="B15" s="68">
        <f>E14/(1.0278-0.0278*C14)</f>
        <v>56.25562556</v>
      </c>
      <c r="C15" s="7"/>
      <c r="D15" s="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7"/>
      <c r="B16" s="7"/>
      <c r="C16" s="7"/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7"/>
      <c r="B17" s="7"/>
      <c r="C17" s="7"/>
      <c r="D17" s="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77"/>
      <c r="B18" s="77"/>
      <c r="C18" s="77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</row>
    <row r="19">
      <c r="A19" s="77"/>
      <c r="B19" s="77"/>
      <c r="C19" s="77"/>
      <c r="D19" s="77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</row>
    <row r="20">
      <c r="A20" s="7"/>
      <c r="B20" s="11" t="s">
        <v>3</v>
      </c>
      <c r="C20" s="11" t="s">
        <v>5</v>
      </c>
      <c r="D20" s="11" t="s">
        <v>6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</row>
    <row r="21">
      <c r="A21" s="23" t="s">
        <v>92</v>
      </c>
      <c r="B21" s="7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</row>
    <row r="22">
      <c r="A22" s="32"/>
      <c r="B22" s="30"/>
      <c r="C22" s="30"/>
      <c r="D22" s="30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</row>
    <row r="23">
      <c r="A23" s="32"/>
      <c r="B23" s="30"/>
      <c r="C23" s="30"/>
      <c r="D23" s="37" t="s">
        <v>33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</row>
    <row r="24">
      <c r="A24" s="41" t="s">
        <v>39</v>
      </c>
      <c r="B24" s="43" t="s">
        <v>101</v>
      </c>
      <c r="C24" s="44">
        <v>8.0</v>
      </c>
      <c r="D24" s="45" t="s">
        <v>42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</row>
    <row r="25">
      <c r="A25" s="46" t="s">
        <v>47</v>
      </c>
      <c r="B25" s="47" t="s">
        <v>103</v>
      </c>
      <c r="C25" s="50">
        <v>6.0</v>
      </c>
      <c r="D25" s="51" t="s">
        <v>42</v>
      </c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</row>
    <row r="26">
      <c r="A26" s="46" t="s">
        <v>50</v>
      </c>
      <c r="B26" s="47" t="s">
        <v>106</v>
      </c>
      <c r="C26" s="50">
        <v>5.0</v>
      </c>
      <c r="D26" s="51" t="s">
        <v>42</v>
      </c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</row>
    <row r="27">
      <c r="A27" s="46" t="s">
        <v>53</v>
      </c>
      <c r="B27" s="47" t="s">
        <v>109</v>
      </c>
      <c r="C27" s="50">
        <v>3.0</v>
      </c>
      <c r="D27" s="51" t="s">
        <v>42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</row>
    <row r="28">
      <c r="A28" s="46" t="s">
        <v>56</v>
      </c>
      <c r="B28" s="47" t="s">
        <v>110</v>
      </c>
      <c r="C28" s="50">
        <v>3.0</v>
      </c>
      <c r="D28" s="51" t="s">
        <v>42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</row>
    <row r="29">
      <c r="A29" s="54" t="s">
        <v>58</v>
      </c>
      <c r="B29" s="56" t="s">
        <v>111</v>
      </c>
      <c r="C29" s="58">
        <v>3.0</v>
      </c>
      <c r="D29" s="59" t="s">
        <v>42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</row>
    <row r="30">
      <c r="A30" s="77"/>
      <c r="B30" s="77"/>
      <c r="C30" s="77"/>
      <c r="D30" s="77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</row>
    <row r="31">
      <c r="A31" s="77"/>
      <c r="B31" s="77"/>
      <c r="C31" s="77"/>
      <c r="D31" s="77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</row>
    <row r="32">
      <c r="A32" s="7"/>
      <c r="B32" s="11" t="s">
        <v>3</v>
      </c>
      <c r="C32" s="11" t="s">
        <v>5</v>
      </c>
      <c r="D32" s="11" t="s">
        <v>6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</row>
    <row r="33">
      <c r="A33" s="23" t="s">
        <v>117</v>
      </c>
      <c r="B33" s="7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</row>
    <row r="34">
      <c r="A34" s="32"/>
      <c r="B34" s="30"/>
      <c r="C34" s="30"/>
      <c r="D34" s="30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</row>
    <row r="35">
      <c r="A35" s="32"/>
      <c r="B35" s="30"/>
      <c r="C35" s="30"/>
      <c r="D35" s="37" t="s">
        <v>33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</row>
    <row r="36">
      <c r="A36" s="41" t="s">
        <v>39</v>
      </c>
      <c r="B36" s="43"/>
      <c r="C36" s="44">
        <v>8.0</v>
      </c>
      <c r="D36" s="45" t="s">
        <v>42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</row>
    <row r="37">
      <c r="A37" s="46" t="s">
        <v>47</v>
      </c>
      <c r="B37" s="47"/>
      <c r="C37" s="50">
        <v>6.0</v>
      </c>
      <c r="D37" s="51" t="s">
        <v>42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</row>
    <row r="38">
      <c r="A38" s="46" t="s">
        <v>50</v>
      </c>
      <c r="B38" s="47"/>
      <c r="C38" s="50">
        <v>5.0</v>
      </c>
      <c r="D38" s="51" t="s">
        <v>42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</row>
    <row r="39">
      <c r="A39" s="46" t="s">
        <v>53</v>
      </c>
      <c r="B39" s="47"/>
      <c r="C39" s="50">
        <v>3.0</v>
      </c>
      <c r="D39" s="51" t="s">
        <v>42</v>
      </c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</row>
    <row r="40">
      <c r="A40" s="46" t="s">
        <v>56</v>
      </c>
      <c r="B40" s="47"/>
      <c r="C40" s="50">
        <v>3.0</v>
      </c>
      <c r="D40" s="51" t="s">
        <v>42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</row>
    <row r="41">
      <c r="A41" s="54" t="s">
        <v>58</v>
      </c>
      <c r="B41" s="56"/>
      <c r="C41" s="58">
        <v>3.0</v>
      </c>
      <c r="D41" s="59" t="s">
        <v>42</v>
      </c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</row>
    <row r="42">
      <c r="A42" s="77"/>
      <c r="B42" s="77"/>
      <c r="C42" s="77"/>
      <c r="D42" s="77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</row>
    <row r="43">
      <c r="A43" s="77"/>
      <c r="B43" s="77"/>
      <c r="C43" s="77"/>
      <c r="D43" s="77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</row>
    <row r="44">
      <c r="A44" s="77"/>
      <c r="B44" s="77"/>
      <c r="C44" s="77"/>
      <c r="D44" s="77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</row>
    <row r="45">
      <c r="A45" s="77"/>
      <c r="B45" s="77"/>
      <c r="C45" s="77"/>
      <c r="D45" s="77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</row>
    <row r="46">
      <c r="A46" s="77"/>
      <c r="B46" s="77"/>
      <c r="C46" s="77"/>
      <c r="D46" s="77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</row>
    <row r="47">
      <c r="A47" s="77"/>
      <c r="B47" s="77"/>
      <c r="C47" s="77"/>
      <c r="D47" s="77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</row>
    <row r="48">
      <c r="A48" s="77"/>
      <c r="B48" s="77"/>
      <c r="C48" s="77"/>
      <c r="D48" s="77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</row>
    <row r="49">
      <c r="A49" s="77"/>
      <c r="B49" s="77"/>
      <c r="C49" s="77"/>
      <c r="D49" s="77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</row>
    <row r="50">
      <c r="A50" s="77"/>
      <c r="B50" s="77"/>
      <c r="C50" s="77"/>
      <c r="D50" s="77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</row>
    <row r="51">
      <c r="A51" s="77"/>
      <c r="B51" s="77"/>
      <c r="C51" s="77"/>
      <c r="D51" s="77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</row>
    <row r="52">
      <c r="A52" s="77"/>
      <c r="B52" s="77"/>
      <c r="C52" s="77"/>
      <c r="D52" s="77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</row>
    <row r="53">
      <c r="A53" s="77"/>
      <c r="B53" s="77"/>
      <c r="C53" s="77"/>
      <c r="D53" s="77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</row>
    <row r="54">
      <c r="A54" s="77"/>
      <c r="B54" s="77"/>
      <c r="C54" s="77"/>
      <c r="D54" s="77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</row>
    <row r="55">
      <c r="A55" s="77"/>
      <c r="B55" s="77"/>
      <c r="C55" s="77"/>
      <c r="D55" s="77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</row>
    <row r="56">
      <c r="A56" s="77"/>
      <c r="B56" s="77"/>
      <c r="C56" s="77"/>
      <c r="D56" s="77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</row>
    <row r="57">
      <c r="A57" s="77"/>
      <c r="B57" s="77"/>
      <c r="C57" s="77"/>
      <c r="D57" s="77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</row>
    <row r="58">
      <c r="A58" s="77"/>
      <c r="B58" s="77"/>
      <c r="C58" s="77"/>
      <c r="D58" s="77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</row>
    <row r="59">
      <c r="A59" s="77"/>
      <c r="B59" s="77"/>
      <c r="C59" s="77"/>
      <c r="D59" s="77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</row>
    <row r="60">
      <c r="A60" s="77"/>
      <c r="B60" s="77"/>
      <c r="C60" s="77"/>
      <c r="D60" s="77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</row>
    <row r="61">
      <c r="A61" s="77"/>
      <c r="B61" s="77"/>
      <c r="C61" s="77"/>
      <c r="D61" s="77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</row>
    <row r="62">
      <c r="A62" s="77"/>
      <c r="B62" s="77"/>
      <c r="C62" s="77"/>
      <c r="D62" s="77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</row>
    <row r="63">
      <c r="A63" s="77"/>
      <c r="B63" s="77"/>
      <c r="C63" s="77"/>
      <c r="D63" s="77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</row>
    <row r="64">
      <c r="A64" s="77"/>
      <c r="B64" s="77"/>
      <c r="C64" s="77"/>
      <c r="D64" s="77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</row>
    <row r="65">
      <c r="A65" s="77"/>
      <c r="B65" s="77"/>
      <c r="C65" s="77"/>
      <c r="D65" s="77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</row>
    <row r="66">
      <c r="A66" s="77"/>
      <c r="B66" s="77"/>
      <c r="C66" s="77"/>
      <c r="D66" s="77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</row>
    <row r="67">
      <c r="A67" s="77"/>
      <c r="B67" s="77"/>
      <c r="C67" s="77"/>
      <c r="D67" s="77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</row>
    <row r="68">
      <c r="A68" s="77"/>
      <c r="B68" s="77"/>
      <c r="C68" s="77"/>
      <c r="D68" s="77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</row>
    <row r="69">
      <c r="A69" s="77"/>
      <c r="B69" s="77"/>
      <c r="C69" s="77"/>
      <c r="D69" s="77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</row>
    <row r="70">
      <c r="A70" s="77"/>
      <c r="B70" s="77"/>
      <c r="C70" s="77"/>
      <c r="D70" s="77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</row>
    <row r="71">
      <c r="A71" s="77"/>
      <c r="B71" s="77"/>
      <c r="C71" s="77"/>
      <c r="D71" s="77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</row>
    <row r="72">
      <c r="A72" s="77"/>
      <c r="B72" s="77"/>
      <c r="C72" s="77"/>
      <c r="D72" s="77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</row>
    <row r="73">
      <c r="A73" s="77"/>
      <c r="B73" s="77"/>
      <c r="C73" s="77"/>
      <c r="D73" s="77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</row>
    <row r="74">
      <c r="A74" s="77"/>
      <c r="B74" s="77"/>
      <c r="C74" s="77"/>
      <c r="D74" s="77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</row>
    <row r="75">
      <c r="A75" s="77"/>
      <c r="B75" s="77"/>
      <c r="C75" s="77"/>
      <c r="D75" s="77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</row>
    <row r="76">
      <c r="A76" s="77"/>
      <c r="B76" s="77"/>
      <c r="C76" s="77"/>
      <c r="D76" s="77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</row>
    <row r="77">
      <c r="A77" s="77"/>
      <c r="B77" s="77"/>
      <c r="C77" s="77"/>
      <c r="D77" s="77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</row>
    <row r="78">
      <c r="A78" s="77"/>
      <c r="B78" s="77"/>
      <c r="C78" s="77"/>
      <c r="D78" s="77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</row>
    <row r="79">
      <c r="A79" s="77"/>
      <c r="B79" s="77"/>
      <c r="C79" s="77"/>
      <c r="D79" s="77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</row>
    <row r="80">
      <c r="A80" s="77"/>
      <c r="B80" s="77"/>
      <c r="C80" s="77"/>
      <c r="D80" s="77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</row>
    <row r="81">
      <c r="A81" s="77"/>
      <c r="B81" s="77"/>
      <c r="C81" s="77"/>
      <c r="D81" s="77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</row>
    <row r="82">
      <c r="A82" s="77"/>
      <c r="B82" s="77"/>
      <c r="C82" s="77"/>
      <c r="D82" s="77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</row>
    <row r="83">
      <c r="A83" s="77"/>
      <c r="B83" s="77"/>
      <c r="C83" s="77"/>
      <c r="D83" s="77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</row>
    <row r="84">
      <c r="A84" s="77"/>
      <c r="B84" s="77"/>
      <c r="C84" s="77"/>
      <c r="D84" s="77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</row>
    <row r="85">
      <c r="A85" s="77"/>
      <c r="B85" s="77"/>
      <c r="C85" s="77"/>
      <c r="D85" s="77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</row>
    <row r="86">
      <c r="A86" s="77"/>
      <c r="B86" s="77"/>
      <c r="C86" s="77"/>
      <c r="D86" s="77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</row>
    <row r="87">
      <c r="A87" s="77"/>
      <c r="B87" s="77"/>
      <c r="C87" s="77"/>
      <c r="D87" s="77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</row>
    <row r="88">
      <c r="A88" s="77"/>
      <c r="B88" s="77"/>
      <c r="C88" s="77"/>
      <c r="D88" s="77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</row>
    <row r="89">
      <c r="A89" s="77"/>
      <c r="B89" s="77"/>
      <c r="C89" s="77"/>
      <c r="D89" s="77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</row>
    <row r="90">
      <c r="A90" s="77"/>
      <c r="B90" s="77"/>
      <c r="C90" s="77"/>
      <c r="D90" s="77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</row>
    <row r="91">
      <c r="A91" s="77"/>
      <c r="B91" s="77"/>
      <c r="C91" s="77"/>
      <c r="D91" s="77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</row>
    <row r="92">
      <c r="A92" s="77"/>
      <c r="B92" s="77"/>
      <c r="C92" s="77"/>
      <c r="D92" s="77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</row>
    <row r="93">
      <c r="A93" s="77"/>
      <c r="B93" s="77"/>
      <c r="C93" s="77"/>
      <c r="D93" s="77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</row>
    <row r="94">
      <c r="A94" s="77"/>
      <c r="B94" s="77"/>
      <c r="C94" s="77"/>
      <c r="D94" s="77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</row>
    <row r="95">
      <c r="A95" s="77"/>
      <c r="B95" s="77"/>
      <c r="C95" s="77"/>
      <c r="D95" s="77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</row>
    <row r="96">
      <c r="A96" s="77"/>
      <c r="B96" s="77"/>
      <c r="C96" s="77"/>
      <c r="D96" s="77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</row>
    <row r="97">
      <c r="A97" s="77"/>
      <c r="B97" s="77"/>
      <c r="C97" s="77"/>
      <c r="D97" s="77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</row>
    <row r="98">
      <c r="A98" s="77"/>
      <c r="B98" s="77"/>
      <c r="C98" s="77"/>
      <c r="D98" s="77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</row>
    <row r="99">
      <c r="A99" s="77"/>
      <c r="B99" s="77"/>
      <c r="C99" s="77"/>
      <c r="D99" s="77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</row>
    <row r="100">
      <c r="A100" s="77"/>
      <c r="B100" s="77"/>
      <c r="C100" s="77"/>
      <c r="D100" s="77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</row>
    <row r="101">
      <c r="A101" s="77"/>
      <c r="B101" s="77"/>
      <c r="C101" s="77"/>
      <c r="D101" s="77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</row>
    <row r="102">
      <c r="A102" s="77"/>
      <c r="B102" s="77"/>
      <c r="C102" s="77"/>
      <c r="D102" s="77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</row>
    <row r="103">
      <c r="A103" s="77"/>
      <c r="B103" s="77"/>
      <c r="C103" s="77"/>
      <c r="D103" s="77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</row>
    <row r="104">
      <c r="A104" s="77"/>
      <c r="B104" s="77"/>
      <c r="C104" s="77"/>
      <c r="D104" s="77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</row>
    <row r="105">
      <c r="A105" s="77"/>
      <c r="B105" s="77"/>
      <c r="C105" s="77"/>
      <c r="D105" s="77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</row>
    <row r="106">
      <c r="A106" s="77"/>
      <c r="B106" s="77"/>
      <c r="C106" s="77"/>
      <c r="D106" s="77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</row>
    <row r="107">
      <c r="A107" s="77"/>
      <c r="B107" s="77"/>
      <c r="C107" s="77"/>
      <c r="D107" s="77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</row>
    <row r="108">
      <c r="A108" s="77"/>
      <c r="B108" s="77"/>
      <c r="C108" s="77"/>
      <c r="D108" s="77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</row>
    <row r="109">
      <c r="A109" s="77"/>
      <c r="B109" s="77"/>
      <c r="C109" s="77"/>
      <c r="D109" s="77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</row>
    <row r="110">
      <c r="A110" s="77"/>
      <c r="B110" s="77"/>
      <c r="C110" s="77"/>
      <c r="D110" s="77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</row>
    <row r="111">
      <c r="A111" s="77"/>
      <c r="B111" s="77"/>
      <c r="C111" s="77"/>
      <c r="D111" s="77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</row>
    <row r="112">
      <c r="A112" s="77"/>
      <c r="B112" s="77"/>
      <c r="C112" s="77"/>
      <c r="D112" s="77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</row>
    <row r="113">
      <c r="A113" s="77"/>
      <c r="B113" s="77"/>
      <c r="C113" s="77"/>
      <c r="D113" s="77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</row>
    <row r="114">
      <c r="A114" s="77"/>
      <c r="B114" s="77"/>
      <c r="C114" s="77"/>
      <c r="D114" s="77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</row>
    <row r="115">
      <c r="A115" s="77"/>
      <c r="B115" s="77"/>
      <c r="C115" s="77"/>
      <c r="D115" s="77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</row>
    <row r="116">
      <c r="A116" s="77"/>
      <c r="B116" s="77"/>
      <c r="C116" s="77"/>
      <c r="D116" s="77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</row>
    <row r="117">
      <c r="A117" s="77"/>
      <c r="B117" s="77"/>
      <c r="C117" s="77"/>
      <c r="D117" s="77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</row>
    <row r="118">
      <c r="A118" s="77"/>
      <c r="B118" s="77"/>
      <c r="C118" s="77"/>
      <c r="D118" s="77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</row>
    <row r="119">
      <c r="A119" s="77"/>
      <c r="B119" s="77"/>
      <c r="C119" s="77"/>
      <c r="D119" s="77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</row>
    <row r="120">
      <c r="A120" s="77"/>
      <c r="B120" s="77"/>
      <c r="C120" s="77"/>
      <c r="D120" s="77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</row>
    <row r="121">
      <c r="A121" s="77"/>
      <c r="B121" s="77"/>
      <c r="C121" s="77"/>
      <c r="D121" s="77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</row>
    <row r="122">
      <c r="A122" s="77"/>
      <c r="B122" s="77"/>
      <c r="C122" s="77"/>
      <c r="D122" s="77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</row>
    <row r="123">
      <c r="A123" s="77"/>
      <c r="B123" s="77"/>
      <c r="C123" s="77"/>
      <c r="D123" s="77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</row>
    <row r="124">
      <c r="A124" s="77"/>
      <c r="B124" s="77"/>
      <c r="C124" s="77"/>
      <c r="D124" s="77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</row>
    <row r="125">
      <c r="A125" s="77"/>
      <c r="B125" s="77"/>
      <c r="C125" s="77"/>
      <c r="D125" s="77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</row>
    <row r="126">
      <c r="A126" s="77"/>
      <c r="B126" s="77"/>
      <c r="C126" s="77"/>
      <c r="D126" s="77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</row>
    <row r="127">
      <c r="A127" s="77"/>
      <c r="B127" s="77"/>
      <c r="C127" s="77"/>
      <c r="D127" s="77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</row>
    <row r="128">
      <c r="A128" s="77"/>
      <c r="B128" s="77"/>
      <c r="C128" s="77"/>
      <c r="D128" s="77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</row>
    <row r="129">
      <c r="A129" s="77"/>
      <c r="B129" s="77"/>
      <c r="C129" s="77"/>
      <c r="D129" s="77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</row>
    <row r="130">
      <c r="A130" s="77"/>
      <c r="B130" s="77"/>
      <c r="C130" s="77"/>
      <c r="D130" s="77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</row>
    <row r="131">
      <c r="A131" s="77"/>
      <c r="B131" s="77"/>
      <c r="C131" s="77"/>
      <c r="D131" s="77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</row>
    <row r="132">
      <c r="A132" s="77"/>
      <c r="B132" s="77"/>
      <c r="C132" s="77"/>
      <c r="D132" s="77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</row>
    <row r="133">
      <c r="A133" s="77"/>
      <c r="B133" s="77"/>
      <c r="C133" s="77"/>
      <c r="D133" s="77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</row>
    <row r="134">
      <c r="A134" s="77"/>
      <c r="B134" s="77"/>
      <c r="C134" s="77"/>
      <c r="D134" s="77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</row>
    <row r="135">
      <c r="A135" s="77"/>
      <c r="B135" s="77"/>
      <c r="C135" s="77"/>
      <c r="D135" s="77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</row>
    <row r="136">
      <c r="A136" s="77"/>
      <c r="B136" s="77"/>
      <c r="C136" s="77"/>
      <c r="D136" s="77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</row>
    <row r="137">
      <c r="A137" s="77"/>
      <c r="B137" s="77"/>
      <c r="C137" s="77"/>
      <c r="D137" s="77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</row>
    <row r="138">
      <c r="A138" s="77"/>
      <c r="B138" s="77"/>
      <c r="C138" s="77"/>
      <c r="D138" s="77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</row>
    <row r="139">
      <c r="A139" s="77"/>
      <c r="B139" s="77"/>
      <c r="C139" s="77"/>
      <c r="D139" s="77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</row>
    <row r="140">
      <c r="A140" s="77"/>
      <c r="B140" s="77"/>
      <c r="C140" s="77"/>
      <c r="D140" s="77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</row>
    <row r="141">
      <c r="A141" s="77"/>
      <c r="B141" s="77"/>
      <c r="C141" s="77"/>
      <c r="D141" s="77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</row>
    <row r="142">
      <c r="A142" s="77"/>
      <c r="B142" s="77"/>
      <c r="C142" s="77"/>
      <c r="D142" s="77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</row>
    <row r="143">
      <c r="A143" s="77"/>
      <c r="B143" s="77"/>
      <c r="C143" s="77"/>
      <c r="D143" s="77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</row>
    <row r="144">
      <c r="A144" s="77"/>
      <c r="B144" s="77"/>
      <c r="C144" s="77"/>
      <c r="D144" s="77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</row>
    <row r="145">
      <c r="A145" s="77"/>
      <c r="B145" s="77"/>
      <c r="C145" s="77"/>
      <c r="D145" s="77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</row>
    <row r="146">
      <c r="A146" s="77"/>
      <c r="B146" s="77"/>
      <c r="C146" s="77"/>
      <c r="D146" s="77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</row>
    <row r="147">
      <c r="A147" s="77"/>
      <c r="B147" s="77"/>
      <c r="C147" s="77"/>
      <c r="D147" s="77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</row>
    <row r="148">
      <c r="A148" s="77"/>
      <c r="B148" s="77"/>
      <c r="C148" s="77"/>
      <c r="D148" s="77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</row>
    <row r="149">
      <c r="A149" s="77"/>
      <c r="B149" s="77"/>
      <c r="C149" s="77"/>
      <c r="D149" s="77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</row>
    <row r="150">
      <c r="A150" s="77"/>
      <c r="B150" s="77"/>
      <c r="C150" s="77"/>
      <c r="D150" s="77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</row>
    <row r="151">
      <c r="A151" s="77"/>
      <c r="B151" s="77"/>
      <c r="C151" s="77"/>
      <c r="D151" s="77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</row>
    <row r="152">
      <c r="A152" s="77"/>
      <c r="B152" s="77"/>
      <c r="C152" s="77"/>
      <c r="D152" s="77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</row>
    <row r="153">
      <c r="A153" s="77"/>
      <c r="B153" s="77"/>
      <c r="C153" s="77"/>
      <c r="D153" s="77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</row>
    <row r="154">
      <c r="A154" s="77"/>
      <c r="B154" s="77"/>
      <c r="C154" s="77"/>
      <c r="D154" s="77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</row>
    <row r="155">
      <c r="A155" s="77"/>
      <c r="B155" s="77"/>
      <c r="C155" s="77"/>
      <c r="D155" s="77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</row>
    <row r="156">
      <c r="A156" s="77"/>
      <c r="B156" s="77"/>
      <c r="C156" s="77"/>
      <c r="D156" s="77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</row>
    <row r="157">
      <c r="A157" s="77"/>
      <c r="B157" s="77"/>
      <c r="C157" s="77"/>
      <c r="D157" s="77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</row>
    <row r="158">
      <c r="A158" s="77"/>
      <c r="B158" s="77"/>
      <c r="C158" s="77"/>
      <c r="D158" s="77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</row>
    <row r="159">
      <c r="A159" s="77"/>
      <c r="B159" s="77"/>
      <c r="C159" s="77"/>
      <c r="D159" s="77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</row>
    <row r="160">
      <c r="A160" s="77"/>
      <c r="B160" s="77"/>
      <c r="C160" s="77"/>
      <c r="D160" s="77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</row>
    <row r="161">
      <c r="A161" s="77"/>
      <c r="B161" s="77"/>
      <c r="C161" s="77"/>
      <c r="D161" s="77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</row>
    <row r="162">
      <c r="A162" s="77"/>
      <c r="B162" s="77"/>
      <c r="C162" s="77"/>
      <c r="D162" s="77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</row>
    <row r="163">
      <c r="A163" s="77"/>
      <c r="B163" s="77"/>
      <c r="C163" s="77"/>
      <c r="D163" s="77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</row>
    <row r="164">
      <c r="A164" s="77"/>
      <c r="B164" s="77"/>
      <c r="C164" s="77"/>
      <c r="D164" s="77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</row>
    <row r="165">
      <c r="A165" s="77"/>
      <c r="B165" s="77"/>
      <c r="C165" s="77"/>
      <c r="D165" s="77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</row>
    <row r="166">
      <c r="A166" s="77"/>
      <c r="B166" s="77"/>
      <c r="C166" s="77"/>
      <c r="D166" s="77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</row>
    <row r="167">
      <c r="A167" s="77"/>
      <c r="B167" s="77"/>
      <c r="C167" s="77"/>
      <c r="D167" s="77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</row>
    <row r="168">
      <c r="A168" s="77"/>
      <c r="B168" s="77"/>
      <c r="C168" s="77"/>
      <c r="D168" s="77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</row>
    <row r="169">
      <c r="A169" s="77"/>
      <c r="B169" s="77"/>
      <c r="C169" s="77"/>
      <c r="D169" s="77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</row>
    <row r="170">
      <c r="A170" s="77"/>
      <c r="B170" s="77"/>
      <c r="C170" s="77"/>
      <c r="D170" s="77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</row>
    <row r="171">
      <c r="A171" s="77"/>
      <c r="B171" s="77"/>
      <c r="C171" s="77"/>
      <c r="D171" s="77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</row>
    <row r="172">
      <c r="A172" s="77"/>
      <c r="B172" s="77"/>
      <c r="C172" s="77"/>
      <c r="D172" s="77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</row>
    <row r="173">
      <c r="A173" s="77"/>
      <c r="B173" s="77"/>
      <c r="C173" s="77"/>
      <c r="D173" s="77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</row>
    <row r="174">
      <c r="A174" s="77"/>
      <c r="B174" s="77"/>
      <c r="C174" s="77"/>
      <c r="D174" s="77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</row>
    <row r="175">
      <c r="A175" s="77"/>
      <c r="B175" s="77"/>
      <c r="C175" s="77"/>
      <c r="D175" s="77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</row>
    <row r="176">
      <c r="A176" s="77"/>
      <c r="B176" s="77"/>
      <c r="C176" s="77"/>
      <c r="D176" s="77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</row>
    <row r="177">
      <c r="A177" s="77"/>
      <c r="B177" s="77"/>
      <c r="C177" s="77"/>
      <c r="D177" s="77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</row>
    <row r="178">
      <c r="A178" s="77"/>
      <c r="B178" s="77"/>
      <c r="C178" s="77"/>
      <c r="D178" s="77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</row>
    <row r="179">
      <c r="A179" s="77"/>
      <c r="B179" s="77"/>
      <c r="C179" s="77"/>
      <c r="D179" s="77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</row>
    <row r="180">
      <c r="A180" s="77"/>
      <c r="B180" s="77"/>
      <c r="C180" s="77"/>
      <c r="D180" s="77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</row>
    <row r="181">
      <c r="A181" s="77"/>
      <c r="B181" s="77"/>
      <c r="C181" s="77"/>
      <c r="D181" s="77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</row>
    <row r="182">
      <c r="A182" s="77"/>
      <c r="B182" s="77"/>
      <c r="C182" s="77"/>
      <c r="D182" s="77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</row>
    <row r="183">
      <c r="A183" s="77"/>
      <c r="B183" s="77"/>
      <c r="C183" s="77"/>
      <c r="D183" s="77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</row>
    <row r="184">
      <c r="A184" s="77"/>
      <c r="B184" s="77"/>
      <c r="C184" s="77"/>
      <c r="D184" s="77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</row>
    <row r="185">
      <c r="A185" s="77"/>
      <c r="B185" s="77"/>
      <c r="C185" s="77"/>
      <c r="D185" s="77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</row>
    <row r="186">
      <c r="A186" s="77"/>
      <c r="B186" s="77"/>
      <c r="C186" s="77"/>
      <c r="D186" s="77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</row>
    <row r="187">
      <c r="A187" s="77"/>
      <c r="B187" s="77"/>
      <c r="C187" s="77"/>
      <c r="D187" s="77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</row>
    <row r="188">
      <c r="A188" s="77"/>
      <c r="B188" s="77"/>
      <c r="C188" s="77"/>
      <c r="D188" s="77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</row>
    <row r="189">
      <c r="A189" s="77"/>
      <c r="B189" s="77"/>
      <c r="C189" s="77"/>
      <c r="D189" s="77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</row>
    <row r="190">
      <c r="A190" s="77"/>
      <c r="B190" s="77"/>
      <c r="C190" s="77"/>
      <c r="D190" s="77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</row>
    <row r="191">
      <c r="A191" s="77"/>
      <c r="B191" s="77"/>
      <c r="C191" s="77"/>
      <c r="D191" s="77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</row>
    <row r="192">
      <c r="A192" s="77"/>
      <c r="B192" s="77"/>
      <c r="C192" s="77"/>
      <c r="D192" s="77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</row>
    <row r="193">
      <c r="A193" s="77"/>
      <c r="B193" s="77"/>
      <c r="C193" s="77"/>
      <c r="D193" s="77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</row>
    <row r="194">
      <c r="A194" s="77"/>
      <c r="B194" s="77"/>
      <c r="C194" s="77"/>
      <c r="D194" s="77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</row>
    <row r="195">
      <c r="A195" s="77"/>
      <c r="B195" s="77"/>
      <c r="C195" s="77"/>
      <c r="D195" s="77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</row>
    <row r="196">
      <c r="A196" s="77"/>
      <c r="B196" s="77"/>
      <c r="C196" s="77"/>
      <c r="D196" s="77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</row>
    <row r="197">
      <c r="A197" s="77"/>
      <c r="B197" s="77"/>
      <c r="C197" s="77"/>
      <c r="D197" s="77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</row>
    <row r="198">
      <c r="A198" s="77"/>
      <c r="B198" s="77"/>
      <c r="C198" s="77"/>
      <c r="D198" s="77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</row>
    <row r="199">
      <c r="A199" s="77"/>
      <c r="B199" s="77"/>
      <c r="C199" s="77"/>
      <c r="D199" s="77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</row>
    <row r="200">
      <c r="A200" s="77"/>
      <c r="B200" s="77"/>
      <c r="C200" s="77"/>
      <c r="D200" s="77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</row>
    <row r="201">
      <c r="A201" s="77"/>
      <c r="B201" s="77"/>
      <c r="C201" s="77"/>
      <c r="D201" s="77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</row>
    <row r="202">
      <c r="A202" s="77"/>
      <c r="B202" s="77"/>
      <c r="C202" s="77"/>
      <c r="D202" s="77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</row>
    <row r="203">
      <c r="A203" s="77"/>
      <c r="B203" s="77"/>
      <c r="C203" s="77"/>
      <c r="D203" s="77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</row>
    <row r="204">
      <c r="A204" s="77"/>
      <c r="B204" s="77"/>
      <c r="C204" s="77"/>
      <c r="D204" s="77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</row>
    <row r="205">
      <c r="A205" s="77"/>
      <c r="B205" s="77"/>
      <c r="C205" s="77"/>
      <c r="D205" s="77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</row>
    <row r="206">
      <c r="A206" s="77"/>
      <c r="B206" s="77"/>
      <c r="C206" s="77"/>
      <c r="D206" s="77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</row>
    <row r="207">
      <c r="A207" s="77"/>
      <c r="B207" s="77"/>
      <c r="C207" s="77"/>
      <c r="D207" s="77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</row>
    <row r="208">
      <c r="A208" s="77"/>
      <c r="B208" s="77"/>
      <c r="C208" s="77"/>
      <c r="D208" s="77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</row>
    <row r="209">
      <c r="A209" s="77"/>
      <c r="B209" s="77"/>
      <c r="C209" s="77"/>
      <c r="D209" s="77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</row>
    <row r="210">
      <c r="A210" s="77"/>
      <c r="B210" s="77"/>
      <c r="C210" s="77"/>
      <c r="D210" s="77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</row>
    <row r="211">
      <c r="A211" s="77"/>
      <c r="B211" s="77"/>
      <c r="C211" s="77"/>
      <c r="D211" s="77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</row>
    <row r="212">
      <c r="A212" s="77"/>
      <c r="B212" s="77"/>
      <c r="C212" s="77"/>
      <c r="D212" s="77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</row>
  </sheetData>
  <mergeCells count="4">
    <mergeCell ref="A1:L1"/>
    <mergeCell ref="B6:D6"/>
    <mergeCell ref="B21:D21"/>
    <mergeCell ref="B33:D33"/>
  </mergeCells>
  <hyperlinks>
    <hyperlink r:id="rId1" ref="A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0.38"/>
    <col customWidth="1" min="3" max="3" width="14.63"/>
    <col customWidth="1" min="4" max="4" width="17.0"/>
    <col customWidth="1" min="5" max="5" width="15.25"/>
    <col customWidth="1" min="6" max="6" width="45.0"/>
    <col customWidth="1" min="7" max="7" width="26.13"/>
  </cols>
  <sheetData>
    <row r="1">
      <c r="A1" s="1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2</v>
      </c>
      <c r="E2" s="10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/>
      <c r="B3" s="7"/>
      <c r="C3" s="7"/>
      <c r="D3" s="7"/>
      <c r="E3" s="13" t="s">
        <v>7</v>
      </c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15" t="s">
        <v>10</v>
      </c>
      <c r="C4" s="15" t="s">
        <v>12</v>
      </c>
      <c r="D4" s="17" t="s">
        <v>13</v>
      </c>
      <c r="E4" s="19" t="s">
        <v>11</v>
      </c>
      <c r="F4" s="21" t="s">
        <v>15</v>
      </c>
      <c r="G4" s="19" t="s">
        <v>16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3" t="s">
        <v>21</v>
      </c>
      <c r="B5" s="7"/>
      <c r="E5" s="25"/>
      <c r="F5" s="2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24</v>
      </c>
      <c r="B6" s="28" t="s">
        <v>26</v>
      </c>
      <c r="C6" s="28" t="s">
        <v>27</v>
      </c>
      <c r="D6" s="30"/>
      <c r="E6" s="31"/>
      <c r="F6" s="2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2"/>
      <c r="B7" s="38" t="s">
        <v>29</v>
      </c>
      <c r="C7" s="39">
        <v>12.0</v>
      </c>
      <c r="D7" s="30"/>
      <c r="E7" s="31"/>
      <c r="F7" s="2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2"/>
      <c r="B8" s="38" t="s">
        <v>40</v>
      </c>
      <c r="C8" s="28" t="s">
        <v>43</v>
      </c>
      <c r="D8" s="30"/>
      <c r="E8" s="31"/>
      <c r="F8" s="2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2"/>
      <c r="B9" s="28" t="s">
        <v>44</v>
      </c>
      <c r="C9" s="28" t="s">
        <v>45</v>
      </c>
      <c r="D9" s="30"/>
      <c r="E9" s="31"/>
      <c r="F9" s="2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2"/>
      <c r="B10" s="38" t="s">
        <v>46</v>
      </c>
      <c r="C10" s="28" t="s">
        <v>49</v>
      </c>
      <c r="D10" s="30"/>
      <c r="E10" s="31"/>
      <c r="F10" s="4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2"/>
      <c r="B11" s="30"/>
      <c r="C11" s="30"/>
      <c r="D11" s="30"/>
      <c r="E11" s="31"/>
      <c r="F11" s="5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2"/>
      <c r="B12" s="30"/>
      <c r="C12" s="30"/>
      <c r="D12" s="30"/>
      <c r="E12" s="31"/>
      <c r="F12" s="5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2"/>
      <c r="B13" s="30"/>
      <c r="C13" s="30"/>
      <c r="D13" s="37" t="s">
        <v>33</v>
      </c>
      <c r="E13" s="31"/>
      <c r="F13" s="4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52</v>
      </c>
      <c r="B14" s="53" t="s">
        <v>55</v>
      </c>
      <c r="C14" s="55"/>
      <c r="D14" s="45" t="s">
        <v>61</v>
      </c>
      <c r="E14" s="57"/>
      <c r="F14" s="4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1"/>
      <c r="B15" s="63" t="s">
        <v>63</v>
      </c>
      <c r="C15" s="65" t="s">
        <v>66</v>
      </c>
      <c r="D15" s="51" t="s">
        <v>67</v>
      </c>
      <c r="E15" s="57" t="str">
        <f>Conversions!D20</f>
        <v>70 lbs</v>
      </c>
      <c r="F15" s="49" t="s">
        <v>74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1"/>
      <c r="B16" s="63" t="s">
        <v>78</v>
      </c>
      <c r="C16" s="65" t="s">
        <v>82</v>
      </c>
      <c r="D16" s="51" t="s">
        <v>67</v>
      </c>
      <c r="E16" s="76" t="s">
        <v>84</v>
      </c>
      <c r="F16" s="49" t="s">
        <v>85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/>
      <c r="B17" s="63" t="s">
        <v>87</v>
      </c>
      <c r="C17" s="65" t="s">
        <v>91</v>
      </c>
      <c r="D17" s="51" t="s">
        <v>67</v>
      </c>
      <c r="E17" s="76" t="s">
        <v>95</v>
      </c>
      <c r="F17" s="49" t="s">
        <v>98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63" t="s">
        <v>97</v>
      </c>
      <c r="C18" s="65" t="s">
        <v>104</v>
      </c>
      <c r="D18" s="51" t="s">
        <v>67</v>
      </c>
      <c r="E18" s="76">
        <v>20.0</v>
      </c>
      <c r="F18" s="49" t="s">
        <v>105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8" t="s">
        <v>107</v>
      </c>
      <c r="B19" s="89" t="s">
        <v>108</v>
      </c>
      <c r="C19" s="90" t="s">
        <v>112</v>
      </c>
      <c r="D19" s="59" t="s">
        <v>113</v>
      </c>
      <c r="E19" s="76">
        <v>30.0</v>
      </c>
      <c r="F19" s="49" t="s">
        <v>114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91"/>
      <c r="C20" s="91"/>
      <c r="D20" s="91"/>
      <c r="E20" s="25"/>
      <c r="F20" s="5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8" t="s">
        <v>115</v>
      </c>
      <c r="B21" s="92" t="s">
        <v>116</v>
      </c>
      <c r="C21" s="93" t="s">
        <v>118</v>
      </c>
      <c r="D21" s="92" t="s">
        <v>113</v>
      </c>
      <c r="E21" s="94" t="s">
        <v>119</v>
      </c>
      <c r="F21" s="95" t="s">
        <v>120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/>
      <c r="B22" s="7"/>
      <c r="C22" s="7"/>
      <c r="D22" s="7"/>
      <c r="E22" s="25"/>
      <c r="F22" s="2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7"/>
    </row>
    <row r="25">
      <c r="A25" s="23" t="s">
        <v>122</v>
      </c>
      <c r="B25" s="98"/>
      <c r="E25" s="25"/>
      <c r="F25" s="2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 t="s">
        <v>24</v>
      </c>
      <c r="B26" s="99" t="s">
        <v>123</v>
      </c>
      <c r="C26" s="100" t="s">
        <v>124</v>
      </c>
      <c r="D26" s="100"/>
      <c r="E26" s="101"/>
      <c r="F26" s="2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1"/>
      <c r="B27" s="38" t="s">
        <v>125</v>
      </c>
      <c r="C27" s="39" t="s">
        <v>126</v>
      </c>
      <c r="D27" s="100"/>
      <c r="E27" s="101"/>
      <c r="F27" s="2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1"/>
      <c r="B28" s="38" t="s">
        <v>127</v>
      </c>
      <c r="C28" s="39" t="s">
        <v>45</v>
      </c>
      <c r="D28" s="100"/>
      <c r="E28" s="101"/>
      <c r="F28" s="2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1"/>
      <c r="B29" s="102" t="s">
        <v>128</v>
      </c>
      <c r="C29" s="100" t="s">
        <v>129</v>
      </c>
      <c r="D29" s="100"/>
      <c r="E29" s="101"/>
      <c r="F29" s="103" t="s">
        <v>130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1"/>
      <c r="B30" s="102" t="s">
        <v>131</v>
      </c>
      <c r="C30" s="104">
        <v>10.0</v>
      </c>
      <c r="D30" s="100"/>
      <c r="E30" s="101"/>
      <c r="F30" s="2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1"/>
      <c r="B31" s="105"/>
      <c r="C31" s="91"/>
      <c r="D31" s="91"/>
      <c r="E31" s="101"/>
      <c r="F31" s="2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1"/>
      <c r="B32" s="91"/>
      <c r="C32" s="91"/>
      <c r="D32" s="91"/>
      <c r="E32" s="101"/>
      <c r="F32" s="2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1"/>
      <c r="B33" s="91"/>
      <c r="C33" s="91"/>
      <c r="D33" s="91"/>
      <c r="E33" s="101"/>
      <c r="F33" s="2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 t="s">
        <v>132</v>
      </c>
      <c r="B34" s="106" t="s">
        <v>133</v>
      </c>
      <c r="C34" s="43" t="s">
        <v>66</v>
      </c>
      <c r="D34" s="45" t="s">
        <v>134</v>
      </c>
      <c r="E34" s="107" t="s">
        <v>138</v>
      </c>
      <c r="F34" s="103" t="s">
        <v>140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1"/>
      <c r="B35" s="63" t="s">
        <v>136</v>
      </c>
      <c r="C35" s="28" t="s">
        <v>66</v>
      </c>
      <c r="D35" s="51" t="s">
        <v>67</v>
      </c>
      <c r="E35" s="107" t="s">
        <v>143</v>
      </c>
      <c r="F35" s="103" t="s">
        <v>144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63" t="s">
        <v>139</v>
      </c>
      <c r="C36" s="28" t="s">
        <v>66</v>
      </c>
      <c r="D36" s="51" t="s">
        <v>67</v>
      </c>
      <c r="E36" s="107" t="s">
        <v>148</v>
      </c>
      <c r="F36" s="103" t="s">
        <v>141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89" t="s">
        <v>142</v>
      </c>
      <c r="C37" s="108" t="s">
        <v>145</v>
      </c>
      <c r="D37" s="59" t="s">
        <v>67</v>
      </c>
      <c r="E37" s="107" t="s">
        <v>152</v>
      </c>
      <c r="F37" s="10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5"/>
      <c r="B38" s="105"/>
      <c r="C38" s="105"/>
      <c r="D38" s="91"/>
      <c r="E38" s="107"/>
      <c r="F38" s="10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5"/>
      <c r="B39" s="105"/>
      <c r="C39" s="105"/>
      <c r="D39" s="91"/>
      <c r="E39" s="107"/>
      <c r="F39" s="10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3" t="s">
        <v>146</v>
      </c>
      <c r="B40" s="102" t="s">
        <v>147</v>
      </c>
      <c r="C40" s="100" t="s">
        <v>149</v>
      </c>
      <c r="D40" s="109" t="s">
        <v>150</v>
      </c>
      <c r="E40" s="107"/>
      <c r="F40" s="10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1"/>
      <c r="B41" s="102" t="s">
        <v>151</v>
      </c>
      <c r="C41" s="104">
        <v>10.0</v>
      </c>
      <c r="D41" s="109" t="s">
        <v>150</v>
      </c>
      <c r="E41" s="101"/>
      <c r="F41" s="103" t="s">
        <v>153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1"/>
      <c r="B42" s="102" t="s">
        <v>154</v>
      </c>
      <c r="C42" s="104">
        <v>10.0</v>
      </c>
      <c r="D42" s="109" t="s">
        <v>150</v>
      </c>
      <c r="E42" s="101"/>
      <c r="F42" s="110" t="s">
        <v>155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1"/>
      <c r="B43" s="102" t="s">
        <v>156</v>
      </c>
      <c r="C43" s="100" t="s">
        <v>157</v>
      </c>
      <c r="D43" s="109" t="s">
        <v>150</v>
      </c>
      <c r="E43" s="101"/>
      <c r="F43" s="2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1"/>
      <c r="B44" s="91"/>
      <c r="C44" s="91"/>
      <c r="D44" s="91"/>
      <c r="E44" s="101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1"/>
      <c r="B45" s="91"/>
      <c r="C45" s="91"/>
      <c r="D45" s="91"/>
      <c r="E45" s="101"/>
      <c r="F45" s="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1" t="s">
        <v>158</v>
      </c>
      <c r="B46" s="111" t="s">
        <v>159</v>
      </c>
      <c r="C46" s="111" t="s">
        <v>160</v>
      </c>
      <c r="D46" s="112" t="s">
        <v>113</v>
      </c>
      <c r="E46" s="101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1"/>
      <c r="B47" s="91"/>
      <c r="C47" s="91"/>
      <c r="D47" s="91"/>
      <c r="E47" s="101"/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113"/>
    </row>
    <row r="49">
      <c r="A49" s="114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6" t="s">
        <v>161</v>
      </c>
      <c r="B50" s="117"/>
      <c r="E50" s="118"/>
      <c r="F50" s="119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>
      <c r="A51" s="121" t="s">
        <v>24</v>
      </c>
      <c r="B51" s="38" t="s">
        <v>29</v>
      </c>
      <c r="C51" s="39">
        <v>12.0</v>
      </c>
      <c r="D51" s="122"/>
      <c r="E51" s="123"/>
      <c r="F51" s="119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>
      <c r="A52" s="113"/>
      <c r="B52" s="38" t="s">
        <v>40</v>
      </c>
      <c r="C52" s="28" t="s">
        <v>43</v>
      </c>
      <c r="D52" s="122"/>
      <c r="E52" s="118"/>
      <c r="F52" s="119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>
      <c r="A53" s="113"/>
      <c r="B53" s="124" t="s">
        <v>44</v>
      </c>
      <c r="C53" s="124" t="s">
        <v>126</v>
      </c>
      <c r="D53" s="122"/>
      <c r="E53" s="118"/>
      <c r="F53" s="119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>
      <c r="A54" s="113"/>
      <c r="B54" s="125"/>
      <c r="C54" s="125"/>
      <c r="D54" s="125"/>
      <c r="E54" s="118"/>
      <c r="F54" s="119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>
      <c r="A55" s="126"/>
      <c r="B55" s="127"/>
      <c r="C55" s="127"/>
      <c r="D55" s="127"/>
      <c r="E55" s="118"/>
      <c r="F55" s="119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>
      <c r="A56" s="121" t="s">
        <v>162</v>
      </c>
      <c r="B56" s="128" t="s">
        <v>163</v>
      </c>
      <c r="C56" s="129"/>
      <c r="D56" s="130" t="s">
        <v>42</v>
      </c>
      <c r="E56" s="118"/>
      <c r="F56" s="131" t="s">
        <v>164</v>
      </c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>
      <c r="A57" s="132"/>
      <c r="B57" s="128" t="s">
        <v>165</v>
      </c>
      <c r="C57" s="129" t="s">
        <v>166</v>
      </c>
      <c r="D57" s="130" t="s">
        <v>42</v>
      </c>
      <c r="E57" s="94" t="s">
        <v>169</v>
      </c>
      <c r="F57" s="133" t="s">
        <v>167</v>
      </c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>
      <c r="A58" s="126"/>
      <c r="B58" s="128" t="s">
        <v>168</v>
      </c>
      <c r="C58" s="129" t="s">
        <v>82</v>
      </c>
      <c r="D58" s="130" t="s">
        <v>170</v>
      </c>
      <c r="E58" s="94" t="s">
        <v>172</v>
      </c>
      <c r="F58" s="135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>
      <c r="A59" s="126"/>
      <c r="B59" s="128" t="s">
        <v>171</v>
      </c>
      <c r="C59" s="129" t="s">
        <v>173</v>
      </c>
      <c r="D59" s="130" t="s">
        <v>42</v>
      </c>
      <c r="E59" s="94" t="s">
        <v>176</v>
      </c>
      <c r="F59" s="133" t="s">
        <v>174</v>
      </c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>
      <c r="A60" s="126"/>
      <c r="B60" s="128" t="s">
        <v>175</v>
      </c>
      <c r="C60" s="129" t="s">
        <v>82</v>
      </c>
      <c r="D60" s="130" t="s">
        <v>42</v>
      </c>
      <c r="E60" s="94" t="s">
        <v>179</v>
      </c>
      <c r="F60" s="135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>
      <c r="A61" s="126"/>
      <c r="B61" s="136"/>
      <c r="C61" s="136"/>
      <c r="D61" s="136"/>
      <c r="E61" s="137"/>
      <c r="F61" s="135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>
      <c r="A62" s="11" t="s">
        <v>177</v>
      </c>
      <c r="B62" s="111" t="s">
        <v>159</v>
      </c>
      <c r="C62" s="111" t="s">
        <v>178</v>
      </c>
      <c r="D62" s="138" t="s">
        <v>113</v>
      </c>
      <c r="E62" s="139"/>
      <c r="F62" s="136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16.5" customHeight="1">
      <c r="A63" s="141"/>
      <c r="B63" s="141"/>
      <c r="C63" s="141"/>
      <c r="D63" s="141"/>
      <c r="E63" s="142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ht="16.5" customHeight="1">
      <c r="A64" s="141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4" t="s">
        <v>180</v>
      </c>
      <c r="B66" s="4"/>
      <c r="C66" s="4"/>
      <c r="D66" s="4"/>
      <c r="E66" s="4"/>
      <c r="F66" s="4"/>
      <c r="G66" s="6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>
      <c r="A67" s="145" t="s">
        <v>181</v>
      </c>
      <c r="B67" s="4"/>
      <c r="C67" s="4"/>
      <c r="D67" s="4"/>
      <c r="E67" s="4"/>
      <c r="F67" s="4"/>
      <c r="G67" s="6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146" t="s">
        <v>183</v>
      </c>
      <c r="B68" s="4"/>
      <c r="C68" s="4"/>
      <c r="D68" s="4"/>
      <c r="E68" s="4"/>
      <c r="F68" s="4"/>
      <c r="G68" s="6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145" t="s">
        <v>184</v>
      </c>
      <c r="B69" s="4"/>
      <c r="C69" s="4"/>
      <c r="D69" s="4"/>
      <c r="E69" s="4"/>
      <c r="F69" s="4"/>
      <c r="G69" s="6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146" t="s">
        <v>185</v>
      </c>
      <c r="B70" s="4"/>
      <c r="C70" s="4"/>
      <c r="D70" s="4"/>
      <c r="E70" s="4"/>
      <c r="F70" s="4"/>
      <c r="G70" s="6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7"/>
      <c r="B71" s="77"/>
      <c r="C71" s="77"/>
      <c r="D71" s="77"/>
      <c r="E71" s="147"/>
      <c r="F71" s="77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7"/>
      <c r="B72" s="77"/>
      <c r="C72" s="77"/>
      <c r="D72" s="77"/>
      <c r="E72" s="147"/>
      <c r="F72" s="77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7"/>
      <c r="B73" s="77"/>
      <c r="C73" s="77"/>
      <c r="D73" s="77"/>
      <c r="E73" s="147"/>
      <c r="F73" s="77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7"/>
      <c r="B74" s="77"/>
      <c r="C74" s="77"/>
      <c r="D74" s="77"/>
      <c r="E74" s="147"/>
      <c r="F74" s="77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7"/>
      <c r="B75" s="77"/>
      <c r="C75" s="77"/>
      <c r="D75" s="77"/>
      <c r="E75" s="147"/>
      <c r="F75" s="77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7"/>
      <c r="B76" s="77"/>
      <c r="C76" s="77"/>
      <c r="D76" s="77"/>
      <c r="E76" s="147"/>
      <c r="F76" s="77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7"/>
      <c r="B77" s="77"/>
      <c r="C77" s="77"/>
      <c r="D77" s="77"/>
      <c r="E77" s="147"/>
      <c r="F77" s="77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7"/>
      <c r="B78" s="77"/>
      <c r="C78" s="77"/>
      <c r="D78" s="77"/>
      <c r="E78" s="147"/>
      <c r="F78" s="77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7"/>
      <c r="B79" s="77"/>
      <c r="C79" s="77"/>
      <c r="D79" s="77"/>
      <c r="E79" s="147"/>
      <c r="F79" s="77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7"/>
      <c r="B80" s="77"/>
      <c r="C80" s="77"/>
      <c r="D80" s="77"/>
      <c r="E80" s="147"/>
      <c r="F80" s="77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7"/>
      <c r="B81" s="77"/>
      <c r="C81" s="77"/>
      <c r="D81" s="77"/>
      <c r="E81" s="147"/>
      <c r="F81" s="77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7"/>
      <c r="B82" s="77"/>
      <c r="C82" s="77"/>
      <c r="D82" s="77"/>
      <c r="E82" s="147"/>
      <c r="F82" s="77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7"/>
      <c r="B83" s="77"/>
      <c r="C83" s="77"/>
      <c r="D83" s="77"/>
      <c r="E83" s="147"/>
      <c r="F83" s="77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7"/>
      <c r="B84" s="77"/>
      <c r="C84" s="77"/>
      <c r="D84" s="77"/>
      <c r="E84" s="147"/>
      <c r="F84" s="77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7"/>
      <c r="B85" s="77"/>
      <c r="C85" s="77"/>
      <c r="D85" s="77"/>
      <c r="E85" s="147"/>
      <c r="F85" s="77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7"/>
      <c r="B86" s="77"/>
      <c r="C86" s="77"/>
      <c r="D86" s="77"/>
      <c r="E86" s="147"/>
      <c r="F86" s="77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7"/>
      <c r="B87" s="77"/>
      <c r="C87" s="77"/>
      <c r="D87" s="77"/>
      <c r="E87" s="147"/>
      <c r="F87" s="77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7"/>
      <c r="B88" s="77"/>
      <c r="C88" s="77"/>
      <c r="D88" s="77"/>
      <c r="E88" s="147"/>
      <c r="F88" s="77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7"/>
      <c r="B89" s="77"/>
      <c r="C89" s="77"/>
      <c r="D89" s="77"/>
      <c r="E89" s="147"/>
      <c r="F89" s="77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7"/>
      <c r="B90" s="77"/>
      <c r="C90" s="77"/>
      <c r="D90" s="77"/>
      <c r="E90" s="147"/>
      <c r="F90" s="77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7"/>
      <c r="B91" s="77"/>
      <c r="C91" s="77"/>
      <c r="D91" s="77"/>
      <c r="E91" s="147"/>
      <c r="F91" s="77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7"/>
      <c r="B92" s="77"/>
      <c r="C92" s="77"/>
      <c r="D92" s="77"/>
      <c r="E92" s="147"/>
      <c r="F92" s="77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7"/>
      <c r="B93" s="77"/>
      <c r="C93" s="77"/>
      <c r="D93" s="77"/>
      <c r="E93" s="147"/>
      <c r="F93" s="77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7"/>
      <c r="B94" s="77"/>
      <c r="C94" s="77"/>
      <c r="D94" s="77"/>
      <c r="E94" s="147"/>
      <c r="F94" s="77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7"/>
      <c r="B95" s="77"/>
      <c r="C95" s="77"/>
      <c r="D95" s="77"/>
      <c r="E95" s="147"/>
      <c r="F95" s="77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7"/>
      <c r="B96" s="77"/>
      <c r="C96" s="77"/>
      <c r="D96" s="77"/>
      <c r="E96" s="147"/>
      <c r="F96" s="77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7"/>
      <c r="B97" s="77"/>
      <c r="C97" s="77"/>
      <c r="D97" s="77"/>
      <c r="E97" s="147"/>
      <c r="F97" s="77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7"/>
      <c r="B98" s="77"/>
      <c r="C98" s="77"/>
      <c r="D98" s="77"/>
      <c r="E98" s="147"/>
      <c r="F98" s="77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7"/>
      <c r="B99" s="77"/>
      <c r="C99" s="77"/>
      <c r="D99" s="77"/>
      <c r="E99" s="147"/>
      <c r="F99" s="77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7"/>
      <c r="B100" s="77"/>
      <c r="C100" s="77"/>
      <c r="D100" s="77"/>
      <c r="E100" s="147"/>
      <c r="F100" s="77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7"/>
      <c r="B101" s="77"/>
      <c r="C101" s="77"/>
      <c r="D101" s="77"/>
      <c r="E101" s="147"/>
      <c r="F101" s="77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7"/>
      <c r="B102" s="77"/>
      <c r="C102" s="77"/>
      <c r="D102" s="77"/>
      <c r="E102" s="147"/>
      <c r="F102" s="77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7"/>
      <c r="B103" s="77"/>
      <c r="C103" s="77"/>
      <c r="D103" s="77"/>
      <c r="E103" s="147"/>
      <c r="F103" s="77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7"/>
      <c r="B104" s="77"/>
      <c r="C104" s="77"/>
      <c r="D104" s="77"/>
      <c r="E104" s="147"/>
      <c r="F104" s="77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7"/>
      <c r="B105" s="77"/>
      <c r="C105" s="77"/>
      <c r="D105" s="77"/>
      <c r="E105" s="147"/>
      <c r="F105" s="77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7"/>
      <c r="B106" s="77"/>
      <c r="C106" s="77"/>
      <c r="D106" s="77"/>
      <c r="E106" s="147"/>
      <c r="F106" s="77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7"/>
      <c r="B107" s="77"/>
      <c r="C107" s="77"/>
      <c r="D107" s="77"/>
      <c r="E107" s="147"/>
      <c r="F107" s="77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7"/>
      <c r="B108" s="77"/>
      <c r="C108" s="77"/>
      <c r="D108" s="77"/>
      <c r="E108" s="147"/>
      <c r="F108" s="77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7"/>
      <c r="B109" s="77"/>
      <c r="C109" s="77"/>
      <c r="D109" s="77"/>
      <c r="E109" s="147"/>
      <c r="F109" s="77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7"/>
      <c r="B110" s="77"/>
      <c r="C110" s="77"/>
      <c r="D110" s="77"/>
      <c r="E110" s="147"/>
      <c r="F110" s="77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7"/>
      <c r="B111" s="77"/>
      <c r="C111" s="77"/>
      <c r="D111" s="77"/>
      <c r="E111" s="147"/>
      <c r="F111" s="77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7"/>
      <c r="B112" s="77"/>
      <c r="C112" s="77"/>
      <c r="D112" s="77"/>
      <c r="E112" s="147"/>
      <c r="F112" s="77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7"/>
      <c r="B113" s="77"/>
      <c r="C113" s="77"/>
      <c r="D113" s="77"/>
      <c r="E113" s="147"/>
      <c r="F113" s="77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7"/>
      <c r="B114" s="77"/>
      <c r="C114" s="77"/>
      <c r="D114" s="77"/>
      <c r="E114" s="147"/>
      <c r="F114" s="77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7"/>
      <c r="B115" s="77"/>
      <c r="C115" s="77"/>
      <c r="D115" s="77"/>
      <c r="E115" s="147"/>
      <c r="F115" s="77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7"/>
      <c r="B116" s="77"/>
      <c r="C116" s="77"/>
      <c r="D116" s="77"/>
      <c r="E116" s="147"/>
      <c r="F116" s="77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7"/>
      <c r="B117" s="77"/>
      <c r="C117" s="77"/>
      <c r="D117" s="77"/>
      <c r="E117" s="147"/>
      <c r="F117" s="77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7"/>
      <c r="B118" s="77"/>
      <c r="C118" s="77"/>
      <c r="D118" s="77"/>
      <c r="E118" s="147"/>
      <c r="F118" s="77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7"/>
      <c r="B119" s="77"/>
      <c r="C119" s="77"/>
      <c r="D119" s="77"/>
      <c r="E119" s="147"/>
      <c r="F119" s="77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7"/>
      <c r="B120" s="77"/>
      <c r="C120" s="77"/>
      <c r="D120" s="77"/>
      <c r="E120" s="147"/>
      <c r="F120" s="77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7"/>
      <c r="B121" s="77"/>
      <c r="C121" s="77"/>
      <c r="D121" s="77"/>
      <c r="E121" s="147"/>
      <c r="F121" s="77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7"/>
      <c r="B122" s="77"/>
      <c r="C122" s="77"/>
      <c r="D122" s="77"/>
      <c r="E122" s="147"/>
      <c r="F122" s="77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7"/>
      <c r="B123" s="77"/>
      <c r="C123" s="77"/>
      <c r="D123" s="77"/>
      <c r="E123" s="147"/>
      <c r="F123" s="77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7"/>
      <c r="B124" s="77"/>
      <c r="C124" s="77"/>
      <c r="D124" s="77"/>
      <c r="E124" s="147"/>
      <c r="F124" s="77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7"/>
      <c r="B125" s="77"/>
      <c r="C125" s="77"/>
      <c r="D125" s="77"/>
      <c r="E125" s="147"/>
      <c r="F125" s="77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7"/>
      <c r="B126" s="77"/>
      <c r="C126" s="77"/>
      <c r="D126" s="77"/>
      <c r="E126" s="147"/>
      <c r="F126" s="77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7"/>
      <c r="B127" s="77"/>
      <c r="C127" s="77"/>
      <c r="D127" s="77"/>
      <c r="E127" s="147"/>
      <c r="F127" s="77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7"/>
      <c r="B128" s="77"/>
      <c r="C128" s="77"/>
      <c r="D128" s="77"/>
      <c r="E128" s="147"/>
      <c r="F128" s="77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7"/>
      <c r="B129" s="77"/>
      <c r="C129" s="77"/>
      <c r="D129" s="77"/>
      <c r="E129" s="147"/>
      <c r="F129" s="77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7"/>
      <c r="B130" s="77"/>
      <c r="C130" s="77"/>
      <c r="D130" s="77"/>
      <c r="E130" s="147"/>
      <c r="F130" s="77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7"/>
      <c r="B131" s="77"/>
      <c r="C131" s="77"/>
      <c r="D131" s="77"/>
      <c r="E131" s="147"/>
      <c r="F131" s="77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7"/>
      <c r="B132" s="77"/>
      <c r="C132" s="77"/>
      <c r="D132" s="77"/>
      <c r="E132" s="147"/>
      <c r="F132" s="77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7"/>
      <c r="B133" s="77"/>
      <c r="C133" s="77"/>
      <c r="D133" s="77"/>
      <c r="E133" s="147"/>
      <c r="F133" s="77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7"/>
      <c r="B134" s="77"/>
      <c r="C134" s="77"/>
      <c r="D134" s="77"/>
      <c r="E134" s="147"/>
      <c r="F134" s="77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7"/>
      <c r="B135" s="77"/>
      <c r="C135" s="77"/>
      <c r="D135" s="77"/>
      <c r="E135" s="147"/>
      <c r="F135" s="77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7"/>
      <c r="B136" s="77"/>
      <c r="C136" s="77"/>
      <c r="D136" s="77"/>
      <c r="E136" s="147"/>
      <c r="F136" s="77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7"/>
      <c r="B137" s="77"/>
      <c r="C137" s="77"/>
      <c r="D137" s="77"/>
      <c r="E137" s="147"/>
      <c r="F137" s="77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7"/>
      <c r="B138" s="77"/>
      <c r="C138" s="77"/>
      <c r="D138" s="77"/>
      <c r="E138" s="147"/>
      <c r="F138" s="77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7"/>
      <c r="B139" s="77"/>
      <c r="C139" s="77"/>
      <c r="D139" s="77"/>
      <c r="E139" s="147"/>
      <c r="F139" s="77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7"/>
      <c r="B140" s="77"/>
      <c r="C140" s="77"/>
      <c r="D140" s="77"/>
      <c r="E140" s="147"/>
      <c r="F140" s="77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7"/>
      <c r="B141" s="77"/>
      <c r="C141" s="77"/>
      <c r="D141" s="77"/>
      <c r="E141" s="147"/>
      <c r="F141" s="77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7"/>
      <c r="B142" s="77"/>
      <c r="C142" s="77"/>
      <c r="D142" s="77"/>
      <c r="E142" s="147"/>
      <c r="F142" s="77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7"/>
      <c r="B143" s="77"/>
      <c r="C143" s="77"/>
      <c r="D143" s="77"/>
      <c r="E143" s="147"/>
      <c r="F143" s="77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7"/>
      <c r="B144" s="77"/>
      <c r="C144" s="77"/>
      <c r="D144" s="77"/>
      <c r="E144" s="147"/>
      <c r="F144" s="77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7"/>
      <c r="B145" s="77"/>
      <c r="C145" s="77"/>
      <c r="D145" s="77"/>
      <c r="E145" s="147"/>
      <c r="F145" s="77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7"/>
      <c r="B146" s="77"/>
      <c r="C146" s="77"/>
      <c r="D146" s="77"/>
      <c r="E146" s="147"/>
      <c r="F146" s="77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7"/>
      <c r="B147" s="77"/>
      <c r="C147" s="77"/>
      <c r="D147" s="77"/>
      <c r="E147" s="147"/>
      <c r="F147" s="77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7"/>
      <c r="B148" s="77"/>
      <c r="C148" s="77"/>
      <c r="D148" s="77"/>
      <c r="E148" s="147"/>
      <c r="F148" s="77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7"/>
      <c r="B149" s="77"/>
      <c r="C149" s="77"/>
      <c r="D149" s="77"/>
      <c r="E149" s="147"/>
      <c r="F149" s="77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7"/>
      <c r="B150" s="77"/>
      <c r="C150" s="77"/>
      <c r="D150" s="77"/>
      <c r="E150" s="147"/>
      <c r="F150" s="77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7"/>
      <c r="B151" s="77"/>
      <c r="C151" s="77"/>
      <c r="D151" s="77"/>
      <c r="E151" s="147"/>
      <c r="F151" s="77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7"/>
      <c r="B152" s="77"/>
      <c r="C152" s="77"/>
      <c r="D152" s="77"/>
      <c r="E152" s="147"/>
      <c r="F152" s="77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7"/>
      <c r="B153" s="77"/>
      <c r="C153" s="77"/>
      <c r="D153" s="77"/>
      <c r="E153" s="147"/>
      <c r="F153" s="77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7"/>
      <c r="B154" s="77"/>
      <c r="C154" s="77"/>
      <c r="D154" s="77"/>
      <c r="E154" s="147"/>
      <c r="F154" s="77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7"/>
      <c r="B155" s="77"/>
      <c r="C155" s="77"/>
      <c r="D155" s="77"/>
      <c r="E155" s="147"/>
      <c r="F155" s="77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7"/>
      <c r="B156" s="77"/>
      <c r="C156" s="77"/>
      <c r="D156" s="77"/>
      <c r="E156" s="147"/>
      <c r="F156" s="77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7"/>
      <c r="B157" s="77"/>
      <c r="C157" s="77"/>
      <c r="D157" s="77"/>
      <c r="E157" s="147"/>
      <c r="F157" s="77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7"/>
      <c r="B158" s="77"/>
      <c r="C158" s="77"/>
      <c r="D158" s="77"/>
      <c r="E158" s="147"/>
      <c r="F158" s="77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7"/>
      <c r="B159" s="77"/>
      <c r="C159" s="77"/>
      <c r="D159" s="77"/>
      <c r="E159" s="147"/>
      <c r="F159" s="77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7"/>
      <c r="B160" s="77"/>
      <c r="C160" s="77"/>
      <c r="D160" s="77"/>
      <c r="E160" s="147"/>
      <c r="F160" s="77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7"/>
      <c r="B161" s="77"/>
      <c r="C161" s="77"/>
      <c r="D161" s="77"/>
      <c r="E161" s="147"/>
      <c r="F161" s="77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7"/>
      <c r="B162" s="77"/>
      <c r="C162" s="77"/>
      <c r="D162" s="77"/>
      <c r="E162" s="147"/>
      <c r="F162" s="77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7"/>
      <c r="B163" s="77"/>
      <c r="C163" s="77"/>
      <c r="D163" s="77"/>
      <c r="E163" s="147"/>
      <c r="F163" s="77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7"/>
      <c r="B164" s="77"/>
      <c r="C164" s="77"/>
      <c r="D164" s="77"/>
      <c r="E164" s="147"/>
      <c r="F164" s="77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7"/>
      <c r="B165" s="77"/>
      <c r="C165" s="77"/>
      <c r="D165" s="77"/>
      <c r="E165" s="147"/>
      <c r="F165" s="77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7"/>
      <c r="B166" s="77"/>
      <c r="C166" s="77"/>
      <c r="D166" s="77"/>
      <c r="E166" s="147"/>
      <c r="F166" s="77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7"/>
      <c r="B167" s="77"/>
      <c r="C167" s="77"/>
      <c r="D167" s="77"/>
      <c r="E167" s="147"/>
      <c r="F167" s="77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7"/>
      <c r="B168" s="77"/>
      <c r="C168" s="77"/>
      <c r="D168" s="77"/>
      <c r="E168" s="147"/>
      <c r="F168" s="77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7"/>
      <c r="B169" s="77"/>
      <c r="C169" s="77"/>
      <c r="D169" s="77"/>
      <c r="E169" s="147"/>
      <c r="F169" s="77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7"/>
      <c r="B170" s="77"/>
      <c r="C170" s="77"/>
      <c r="D170" s="77"/>
      <c r="E170" s="147"/>
      <c r="F170" s="77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7"/>
      <c r="B171" s="77"/>
      <c r="C171" s="77"/>
      <c r="D171" s="77"/>
      <c r="E171" s="147"/>
      <c r="F171" s="77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7"/>
      <c r="B172" s="77"/>
      <c r="C172" s="77"/>
      <c r="D172" s="77"/>
      <c r="E172" s="147"/>
      <c r="F172" s="77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7"/>
      <c r="B173" s="77"/>
      <c r="C173" s="77"/>
      <c r="D173" s="77"/>
      <c r="E173" s="147"/>
      <c r="F173" s="77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7"/>
      <c r="B174" s="77"/>
      <c r="C174" s="77"/>
      <c r="D174" s="77"/>
      <c r="E174" s="147"/>
      <c r="F174" s="77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7"/>
      <c r="B175" s="77"/>
      <c r="C175" s="77"/>
      <c r="D175" s="77"/>
      <c r="E175" s="147"/>
      <c r="F175" s="77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7"/>
      <c r="B176" s="77"/>
      <c r="C176" s="77"/>
      <c r="D176" s="77"/>
      <c r="E176" s="147"/>
      <c r="F176" s="77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7"/>
      <c r="B177" s="77"/>
      <c r="C177" s="77"/>
      <c r="D177" s="77"/>
      <c r="E177" s="147"/>
      <c r="F177" s="77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7"/>
      <c r="B178" s="77"/>
      <c r="C178" s="77"/>
      <c r="D178" s="77"/>
      <c r="E178" s="147"/>
      <c r="F178" s="77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7"/>
      <c r="B179" s="77"/>
      <c r="C179" s="77"/>
      <c r="D179" s="77"/>
      <c r="E179" s="147"/>
      <c r="F179" s="77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7"/>
      <c r="B180" s="77"/>
      <c r="C180" s="77"/>
      <c r="D180" s="77"/>
      <c r="E180" s="147"/>
      <c r="F180" s="77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7"/>
      <c r="B181" s="77"/>
      <c r="C181" s="77"/>
      <c r="D181" s="77"/>
      <c r="E181" s="147"/>
      <c r="F181" s="77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7"/>
      <c r="B182" s="77"/>
      <c r="C182" s="77"/>
      <c r="D182" s="77"/>
      <c r="E182" s="147"/>
      <c r="F182" s="77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7"/>
      <c r="B183" s="77"/>
      <c r="C183" s="77"/>
      <c r="D183" s="77"/>
      <c r="E183" s="147"/>
      <c r="F183" s="77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7"/>
      <c r="B184" s="77"/>
      <c r="C184" s="77"/>
      <c r="D184" s="77"/>
      <c r="E184" s="147"/>
      <c r="F184" s="77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7"/>
      <c r="B185" s="77"/>
      <c r="C185" s="77"/>
      <c r="D185" s="77"/>
      <c r="E185" s="147"/>
      <c r="F185" s="77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7"/>
      <c r="B186" s="77"/>
      <c r="C186" s="77"/>
      <c r="D186" s="77"/>
      <c r="E186" s="147"/>
      <c r="F186" s="77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7"/>
      <c r="B187" s="77"/>
      <c r="C187" s="77"/>
      <c r="D187" s="77"/>
      <c r="E187" s="147"/>
      <c r="F187" s="77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7"/>
      <c r="B188" s="77"/>
      <c r="C188" s="77"/>
      <c r="D188" s="77"/>
      <c r="E188" s="147"/>
      <c r="F188" s="77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7"/>
      <c r="B189" s="77"/>
      <c r="C189" s="77"/>
      <c r="D189" s="77"/>
      <c r="E189" s="147"/>
      <c r="F189" s="77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7"/>
      <c r="B190" s="77"/>
      <c r="C190" s="77"/>
      <c r="D190" s="77"/>
      <c r="E190" s="147"/>
      <c r="F190" s="77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7"/>
      <c r="B191" s="77"/>
      <c r="C191" s="77"/>
      <c r="D191" s="77"/>
      <c r="E191" s="147"/>
      <c r="F191" s="77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7"/>
      <c r="B192" s="77"/>
      <c r="C192" s="77"/>
      <c r="D192" s="77"/>
      <c r="E192" s="147"/>
      <c r="F192" s="77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7"/>
      <c r="B193" s="77"/>
      <c r="C193" s="77"/>
      <c r="D193" s="77"/>
      <c r="E193" s="147"/>
      <c r="F193" s="77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7"/>
      <c r="B194" s="77"/>
      <c r="C194" s="77"/>
      <c r="D194" s="77"/>
      <c r="E194" s="147"/>
      <c r="F194" s="77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7"/>
      <c r="B195" s="77"/>
      <c r="C195" s="77"/>
      <c r="D195" s="77"/>
      <c r="E195" s="147"/>
      <c r="F195" s="77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7"/>
      <c r="B196" s="77"/>
      <c r="C196" s="77"/>
      <c r="D196" s="77"/>
      <c r="E196" s="147"/>
      <c r="F196" s="77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7"/>
      <c r="B197" s="77"/>
      <c r="C197" s="77"/>
      <c r="D197" s="77"/>
      <c r="E197" s="147"/>
      <c r="F197" s="77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7"/>
      <c r="B198" s="77"/>
      <c r="C198" s="77"/>
      <c r="D198" s="77"/>
      <c r="E198" s="147"/>
      <c r="F198" s="77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7"/>
      <c r="B199" s="77"/>
      <c r="C199" s="77"/>
      <c r="D199" s="77"/>
      <c r="E199" s="147"/>
      <c r="F199" s="77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7"/>
      <c r="B200" s="77"/>
      <c r="C200" s="77"/>
      <c r="D200" s="77"/>
      <c r="E200" s="147"/>
      <c r="F200" s="77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7"/>
      <c r="B201" s="77"/>
      <c r="C201" s="77"/>
      <c r="D201" s="77"/>
      <c r="E201" s="147"/>
      <c r="F201" s="77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7"/>
      <c r="B202" s="77"/>
      <c r="C202" s="77"/>
      <c r="D202" s="77"/>
      <c r="E202" s="147"/>
      <c r="F202" s="77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7"/>
      <c r="B203" s="77"/>
      <c r="C203" s="77"/>
      <c r="D203" s="77"/>
      <c r="E203" s="147"/>
      <c r="F203" s="77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7"/>
      <c r="B204" s="77"/>
      <c r="C204" s="77"/>
      <c r="D204" s="77"/>
      <c r="E204" s="147"/>
      <c r="F204" s="77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7"/>
      <c r="B205" s="77"/>
      <c r="C205" s="77"/>
      <c r="D205" s="77"/>
      <c r="E205" s="147"/>
      <c r="F205" s="77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7"/>
      <c r="B206" s="77"/>
      <c r="C206" s="77"/>
      <c r="D206" s="77"/>
      <c r="E206" s="147"/>
      <c r="F206" s="77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7"/>
      <c r="B207" s="77"/>
      <c r="C207" s="77"/>
      <c r="D207" s="77"/>
      <c r="E207" s="147"/>
      <c r="F207" s="77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7"/>
      <c r="B208" s="77"/>
      <c r="C208" s="77"/>
      <c r="D208" s="77"/>
      <c r="E208" s="147"/>
      <c r="F208" s="77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7"/>
      <c r="B209" s="77"/>
      <c r="C209" s="77"/>
      <c r="D209" s="77"/>
      <c r="E209" s="147"/>
      <c r="F209" s="77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7"/>
      <c r="B210" s="77"/>
      <c r="C210" s="77"/>
      <c r="D210" s="77"/>
      <c r="E210" s="147"/>
      <c r="F210" s="77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7"/>
      <c r="B211" s="77"/>
      <c r="C211" s="77"/>
      <c r="D211" s="77"/>
      <c r="E211" s="147"/>
      <c r="F211" s="77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7"/>
      <c r="B212" s="77"/>
      <c r="C212" s="77"/>
      <c r="D212" s="77"/>
      <c r="E212" s="147"/>
      <c r="F212" s="77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7"/>
      <c r="B213" s="77"/>
      <c r="C213" s="77"/>
      <c r="D213" s="77"/>
      <c r="E213" s="147"/>
      <c r="F213" s="77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7"/>
      <c r="B214" s="77"/>
      <c r="C214" s="77"/>
      <c r="D214" s="77"/>
      <c r="E214" s="147"/>
      <c r="F214" s="77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7"/>
      <c r="B215" s="77"/>
      <c r="C215" s="77"/>
      <c r="D215" s="77"/>
      <c r="E215" s="147"/>
      <c r="F215" s="77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7"/>
      <c r="B216" s="77"/>
      <c r="C216" s="77"/>
      <c r="D216" s="77"/>
      <c r="E216" s="147"/>
      <c r="F216" s="77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7"/>
      <c r="B217" s="77"/>
      <c r="C217" s="77"/>
      <c r="D217" s="77"/>
      <c r="E217" s="147"/>
      <c r="F217" s="77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7"/>
      <c r="B218" s="77"/>
      <c r="C218" s="77"/>
      <c r="D218" s="77"/>
      <c r="E218" s="147"/>
      <c r="F218" s="77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7"/>
      <c r="B219" s="77"/>
      <c r="C219" s="77"/>
      <c r="D219" s="77"/>
      <c r="E219" s="147"/>
      <c r="F219" s="77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7"/>
      <c r="B220" s="77"/>
      <c r="C220" s="77"/>
      <c r="D220" s="77"/>
      <c r="E220" s="147"/>
      <c r="F220" s="77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7"/>
      <c r="B221" s="77"/>
      <c r="C221" s="77"/>
      <c r="D221" s="77"/>
      <c r="E221" s="147"/>
      <c r="F221" s="77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7"/>
      <c r="B222" s="77"/>
      <c r="C222" s="77"/>
      <c r="D222" s="77"/>
      <c r="E222" s="147"/>
      <c r="F222" s="77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7"/>
      <c r="B223" s="77"/>
      <c r="C223" s="77"/>
      <c r="D223" s="77"/>
      <c r="E223" s="147"/>
      <c r="F223" s="77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7"/>
      <c r="B224" s="77"/>
      <c r="C224" s="77"/>
      <c r="D224" s="77"/>
      <c r="E224" s="147"/>
      <c r="F224" s="77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7"/>
      <c r="B225" s="77"/>
      <c r="C225" s="77"/>
      <c r="D225" s="77"/>
      <c r="E225" s="147"/>
      <c r="F225" s="77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7"/>
      <c r="B226" s="77"/>
      <c r="C226" s="77"/>
      <c r="D226" s="77"/>
      <c r="E226" s="147"/>
      <c r="F226" s="77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7"/>
      <c r="B227" s="77"/>
      <c r="C227" s="77"/>
      <c r="D227" s="77"/>
      <c r="E227" s="147"/>
      <c r="F227" s="77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7"/>
      <c r="B228" s="77"/>
      <c r="C228" s="77"/>
      <c r="D228" s="77"/>
      <c r="E228" s="147"/>
      <c r="F228" s="77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7"/>
      <c r="B229" s="77"/>
      <c r="C229" s="77"/>
      <c r="D229" s="77"/>
      <c r="E229" s="147"/>
      <c r="F229" s="77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7"/>
      <c r="B230" s="77"/>
      <c r="C230" s="77"/>
      <c r="D230" s="77"/>
      <c r="E230" s="147"/>
      <c r="F230" s="77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7"/>
      <c r="B231" s="77"/>
      <c r="C231" s="77"/>
      <c r="D231" s="77"/>
      <c r="E231" s="147"/>
      <c r="F231" s="77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7"/>
      <c r="B232" s="77"/>
      <c r="C232" s="77"/>
      <c r="D232" s="77"/>
      <c r="E232" s="147"/>
      <c r="F232" s="77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7"/>
      <c r="B233" s="77"/>
      <c r="C233" s="77"/>
      <c r="D233" s="77"/>
      <c r="E233" s="147"/>
      <c r="F233" s="77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7"/>
      <c r="B234" s="77"/>
      <c r="C234" s="77"/>
      <c r="D234" s="77"/>
      <c r="E234" s="147"/>
      <c r="F234" s="77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7"/>
      <c r="B235" s="77"/>
      <c r="C235" s="77"/>
      <c r="D235" s="77"/>
      <c r="E235" s="147"/>
      <c r="F235" s="77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7"/>
      <c r="B236" s="77"/>
      <c r="C236" s="77"/>
      <c r="D236" s="77"/>
      <c r="E236" s="147"/>
      <c r="F236" s="77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7"/>
      <c r="B237" s="77"/>
      <c r="C237" s="77"/>
      <c r="D237" s="77"/>
      <c r="E237" s="147"/>
      <c r="F237" s="77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7"/>
      <c r="B238" s="77"/>
      <c r="C238" s="77"/>
      <c r="D238" s="77"/>
      <c r="E238" s="147"/>
      <c r="F238" s="77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7"/>
      <c r="B239" s="77"/>
      <c r="C239" s="77"/>
      <c r="D239" s="77"/>
      <c r="E239" s="147"/>
      <c r="F239" s="77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7"/>
      <c r="B240" s="77"/>
      <c r="C240" s="77"/>
      <c r="D240" s="77"/>
      <c r="E240" s="147"/>
      <c r="F240" s="77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7"/>
      <c r="B241" s="77"/>
      <c r="C241" s="77"/>
      <c r="D241" s="77"/>
      <c r="E241" s="147"/>
      <c r="F241" s="77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7"/>
      <c r="B242" s="77"/>
      <c r="C242" s="77"/>
      <c r="D242" s="77"/>
      <c r="E242" s="147"/>
      <c r="F242" s="77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7"/>
      <c r="B243" s="77"/>
      <c r="C243" s="77"/>
      <c r="D243" s="77"/>
      <c r="E243" s="147"/>
      <c r="F243" s="77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7"/>
      <c r="B244" s="77"/>
      <c r="C244" s="77"/>
      <c r="D244" s="77"/>
      <c r="E244" s="147"/>
      <c r="F244" s="77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7"/>
      <c r="B245" s="77"/>
      <c r="C245" s="77"/>
      <c r="D245" s="77"/>
      <c r="E245" s="147"/>
      <c r="F245" s="77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7"/>
      <c r="B246" s="77"/>
      <c r="C246" s="77"/>
      <c r="D246" s="77"/>
      <c r="E246" s="147"/>
      <c r="F246" s="77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7"/>
      <c r="B247" s="77"/>
      <c r="C247" s="77"/>
      <c r="D247" s="77"/>
      <c r="E247" s="147"/>
      <c r="F247" s="77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7"/>
      <c r="B248" s="77"/>
      <c r="C248" s="77"/>
      <c r="D248" s="77"/>
      <c r="E248" s="147"/>
      <c r="F248" s="77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7"/>
      <c r="B249" s="77"/>
      <c r="C249" s="77"/>
      <c r="D249" s="77"/>
      <c r="E249" s="147"/>
      <c r="F249" s="77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7"/>
      <c r="B250" s="77"/>
      <c r="C250" s="77"/>
      <c r="D250" s="77"/>
      <c r="E250" s="147"/>
      <c r="F250" s="77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7"/>
      <c r="B251" s="77"/>
      <c r="C251" s="77"/>
      <c r="D251" s="77"/>
      <c r="E251" s="147"/>
      <c r="F251" s="77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7"/>
      <c r="B252" s="77"/>
      <c r="C252" s="77"/>
      <c r="D252" s="77"/>
      <c r="E252" s="147"/>
      <c r="F252" s="77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7"/>
      <c r="B253" s="77"/>
      <c r="C253" s="77"/>
      <c r="D253" s="77"/>
      <c r="E253" s="147"/>
      <c r="F253" s="77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7"/>
      <c r="B254" s="77"/>
      <c r="C254" s="77"/>
      <c r="D254" s="77"/>
      <c r="E254" s="147"/>
      <c r="F254" s="77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7"/>
      <c r="B255" s="77"/>
      <c r="C255" s="77"/>
      <c r="D255" s="77"/>
      <c r="E255" s="147"/>
      <c r="F255" s="77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7"/>
      <c r="B256" s="77"/>
      <c r="C256" s="77"/>
      <c r="D256" s="77"/>
      <c r="E256" s="147"/>
      <c r="F256" s="77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7"/>
      <c r="B257" s="77"/>
      <c r="C257" s="77"/>
      <c r="D257" s="77"/>
      <c r="E257" s="147"/>
      <c r="F257" s="77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7"/>
      <c r="B258" s="77"/>
      <c r="C258" s="77"/>
      <c r="D258" s="77"/>
      <c r="E258" s="147"/>
      <c r="F258" s="77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7"/>
      <c r="B259" s="77"/>
      <c r="C259" s="77"/>
      <c r="D259" s="77"/>
      <c r="E259" s="147"/>
      <c r="F259" s="77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7"/>
      <c r="B260" s="77"/>
      <c r="C260" s="77"/>
      <c r="D260" s="77"/>
      <c r="E260" s="147"/>
      <c r="F260" s="77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7"/>
      <c r="B261" s="77"/>
      <c r="C261" s="77"/>
      <c r="D261" s="77"/>
      <c r="E261" s="147"/>
      <c r="F261" s="77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7"/>
      <c r="B262" s="77"/>
      <c r="C262" s="77"/>
      <c r="D262" s="77"/>
      <c r="E262" s="147"/>
      <c r="F262" s="77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7"/>
      <c r="B263" s="77"/>
      <c r="C263" s="77"/>
      <c r="D263" s="77"/>
      <c r="E263" s="147"/>
      <c r="F263" s="77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7"/>
      <c r="B264" s="77"/>
      <c r="C264" s="77"/>
      <c r="D264" s="77"/>
      <c r="E264" s="147"/>
      <c r="F264" s="77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7"/>
      <c r="B265" s="77"/>
      <c r="C265" s="77"/>
      <c r="D265" s="77"/>
      <c r="E265" s="147"/>
      <c r="F265" s="77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</sheetData>
  <mergeCells count="15">
    <mergeCell ref="A49:Z49"/>
    <mergeCell ref="B50:D50"/>
    <mergeCell ref="A64:Z64"/>
    <mergeCell ref="A66:G66"/>
    <mergeCell ref="A67:G67"/>
    <mergeCell ref="A68:G68"/>
    <mergeCell ref="A69:G69"/>
    <mergeCell ref="A70:G70"/>
    <mergeCell ref="A1:E1"/>
    <mergeCell ref="A2:D2"/>
    <mergeCell ref="B5:D5"/>
    <mergeCell ref="A23:Z23"/>
    <mergeCell ref="A24:Z24"/>
    <mergeCell ref="B25:D25"/>
    <mergeCell ref="A48:Z48"/>
  </mergeCells>
  <hyperlinks>
    <hyperlink r:id="rId1" ref="B7"/>
    <hyperlink r:id="rId2" ref="B8"/>
    <hyperlink r:id="rId3" ref="B10"/>
    <hyperlink display="Barbell Back Squat TEST" location="TESTS!A1" ref="B14"/>
    <hyperlink r:id="rId4" ref="B15"/>
    <hyperlink r:id="rId5" ref="B16"/>
    <hyperlink r:id="rId6" ref="B17"/>
    <hyperlink r:id="rId7" ref="B18"/>
    <hyperlink r:id="rId8" ref="B19"/>
    <hyperlink r:id="rId9" ref="B27"/>
    <hyperlink r:id="rId10" ref="B28"/>
    <hyperlink r:id="rId11" ref="B29"/>
    <hyperlink r:id="rId12" ref="B30"/>
    <hyperlink r:id="rId13" ref="B34"/>
    <hyperlink r:id="rId14" ref="B35"/>
    <hyperlink r:id="rId15" ref="B36"/>
    <hyperlink r:id="rId16" ref="B37"/>
    <hyperlink r:id="rId17" ref="B40"/>
    <hyperlink r:id="rId18" ref="B41"/>
    <hyperlink r:id="rId19" ref="B42"/>
    <hyperlink r:id="rId20" ref="B43"/>
    <hyperlink r:id="rId21" ref="B51"/>
    <hyperlink r:id="rId22" ref="B52"/>
    <hyperlink display="Hip Thrust TEST" location="TESTS!A1" ref="B56"/>
    <hyperlink r:id="rId23" ref="B57"/>
    <hyperlink r:id="rId24" ref="B58"/>
    <hyperlink r:id="rId25" ref="B59"/>
    <hyperlink r:id="rId26" ref="B60"/>
  </hyperlinks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0.38"/>
    <col customWidth="1" min="3" max="3" width="14.63"/>
    <col customWidth="1" min="4" max="4" width="17.0"/>
    <col customWidth="1" min="5" max="5" width="15.25"/>
    <col customWidth="1" min="6" max="6" width="45.0"/>
    <col customWidth="1" min="7" max="7" width="26.13"/>
  </cols>
  <sheetData>
    <row r="1">
      <c r="A1" s="1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2</v>
      </c>
      <c r="E2" s="10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/>
      <c r="B3" s="7"/>
      <c r="C3" s="7"/>
      <c r="D3" s="7"/>
      <c r="E3" s="13" t="s">
        <v>14</v>
      </c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15" t="s">
        <v>10</v>
      </c>
      <c r="C4" s="15" t="s">
        <v>12</v>
      </c>
      <c r="D4" s="17" t="s">
        <v>13</v>
      </c>
      <c r="E4" s="19" t="s">
        <v>11</v>
      </c>
      <c r="F4" s="21" t="s">
        <v>15</v>
      </c>
      <c r="G4" s="19" t="s">
        <v>16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3" t="s">
        <v>21</v>
      </c>
      <c r="B5" s="7"/>
      <c r="E5" s="25"/>
      <c r="F5" s="2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24</v>
      </c>
      <c r="B6" s="28" t="s">
        <v>26</v>
      </c>
      <c r="C6" s="28" t="s">
        <v>27</v>
      </c>
      <c r="D6" s="30"/>
      <c r="E6" s="31"/>
      <c r="F6" s="2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2"/>
      <c r="B7" s="38" t="s">
        <v>29</v>
      </c>
      <c r="C7" s="39">
        <v>12.0</v>
      </c>
      <c r="D7" s="30"/>
      <c r="E7" s="31"/>
      <c r="F7" s="2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2"/>
      <c r="B8" s="38" t="s">
        <v>40</v>
      </c>
      <c r="C8" s="28" t="s">
        <v>43</v>
      </c>
      <c r="D8" s="30"/>
      <c r="E8" s="31"/>
      <c r="F8" s="2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2"/>
      <c r="B9" s="28" t="s">
        <v>44</v>
      </c>
      <c r="C9" s="28" t="s">
        <v>45</v>
      </c>
      <c r="D9" s="30"/>
      <c r="E9" s="31"/>
      <c r="F9" s="2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2"/>
      <c r="B10" s="38" t="s">
        <v>46</v>
      </c>
      <c r="C10" s="28" t="s">
        <v>49</v>
      </c>
      <c r="D10" s="30"/>
      <c r="E10" s="31"/>
      <c r="F10" s="4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2"/>
      <c r="B11" s="30"/>
      <c r="C11" s="30"/>
      <c r="D11" s="30"/>
      <c r="E11" s="31"/>
      <c r="F11" s="5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2"/>
      <c r="B12" s="30"/>
      <c r="C12" s="30"/>
      <c r="D12" s="30"/>
      <c r="E12" s="31"/>
      <c r="F12" s="5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2"/>
      <c r="B13" s="30"/>
      <c r="C13" s="30"/>
      <c r="D13" s="37" t="s">
        <v>33</v>
      </c>
      <c r="E13" s="31"/>
      <c r="F13" s="4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52</v>
      </c>
      <c r="B14" s="53" t="s">
        <v>55</v>
      </c>
      <c r="C14" s="55"/>
      <c r="D14" s="45" t="s">
        <v>61</v>
      </c>
      <c r="E14" s="57"/>
      <c r="F14" s="4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1"/>
      <c r="B15" s="63" t="s">
        <v>68</v>
      </c>
      <c r="C15" s="65" t="s">
        <v>66</v>
      </c>
      <c r="D15" s="51" t="s">
        <v>67</v>
      </c>
      <c r="E15" s="57"/>
      <c r="F15" s="4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1"/>
      <c r="B16" s="63" t="s">
        <v>78</v>
      </c>
      <c r="C16" s="65" t="s">
        <v>82</v>
      </c>
      <c r="D16" s="51" t="s">
        <v>67</v>
      </c>
      <c r="E16" s="76"/>
      <c r="F16" s="49" t="s">
        <v>85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/>
      <c r="B17" s="63" t="s">
        <v>87</v>
      </c>
      <c r="C17" s="65" t="s">
        <v>91</v>
      </c>
      <c r="D17" s="51" t="s">
        <v>67</v>
      </c>
      <c r="E17" s="76"/>
      <c r="F17" s="49" t="s">
        <v>94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63" t="s">
        <v>97</v>
      </c>
      <c r="C18" s="65" t="s">
        <v>104</v>
      </c>
      <c r="D18" s="51" t="s">
        <v>67</v>
      </c>
      <c r="E18" s="76"/>
      <c r="F18" s="49" t="s">
        <v>105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8" t="s">
        <v>107</v>
      </c>
      <c r="B19" s="89" t="s">
        <v>108</v>
      </c>
      <c r="C19" s="90" t="s">
        <v>112</v>
      </c>
      <c r="D19" s="59" t="s">
        <v>113</v>
      </c>
      <c r="E19" s="76"/>
      <c r="F19" s="49" t="s">
        <v>114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91"/>
      <c r="C20" s="91"/>
      <c r="D20" s="91"/>
      <c r="E20" s="25"/>
      <c r="F20" s="5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8" t="s">
        <v>115</v>
      </c>
      <c r="B21" s="92" t="s">
        <v>116</v>
      </c>
      <c r="C21" s="93" t="s">
        <v>118</v>
      </c>
      <c r="D21" s="92" t="s">
        <v>113</v>
      </c>
      <c r="E21" s="94"/>
      <c r="F21" s="95" t="s">
        <v>121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/>
      <c r="B22" s="7"/>
      <c r="C22" s="7"/>
      <c r="D22" s="7"/>
      <c r="E22" s="25"/>
      <c r="F22" s="2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7"/>
    </row>
    <row r="25">
      <c r="A25" s="23" t="s">
        <v>122</v>
      </c>
      <c r="B25" s="98"/>
      <c r="E25" s="25"/>
      <c r="F25" s="2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 t="s">
        <v>24</v>
      </c>
      <c r="B26" s="99" t="s">
        <v>123</v>
      </c>
      <c r="C26" s="100" t="s">
        <v>124</v>
      </c>
      <c r="D26" s="100"/>
      <c r="E26" s="101"/>
      <c r="F26" s="2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1"/>
      <c r="B27" s="38" t="s">
        <v>125</v>
      </c>
      <c r="C27" s="39" t="s">
        <v>126</v>
      </c>
      <c r="D27" s="100"/>
      <c r="E27" s="101"/>
      <c r="F27" s="2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1"/>
      <c r="B28" s="38" t="s">
        <v>127</v>
      </c>
      <c r="C28" s="39" t="s">
        <v>45</v>
      </c>
      <c r="D28" s="100"/>
      <c r="E28" s="101"/>
      <c r="F28" s="2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1"/>
      <c r="B29" s="102" t="s">
        <v>128</v>
      </c>
      <c r="C29" s="100" t="s">
        <v>129</v>
      </c>
      <c r="D29" s="100"/>
      <c r="E29" s="101"/>
      <c r="F29" s="103" t="s">
        <v>130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1"/>
      <c r="B30" s="102" t="s">
        <v>131</v>
      </c>
      <c r="C30" s="104">
        <v>10.0</v>
      </c>
      <c r="D30" s="100"/>
      <c r="E30" s="101"/>
      <c r="F30" s="2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1"/>
      <c r="B31" s="105"/>
      <c r="C31" s="91"/>
      <c r="D31" s="91"/>
      <c r="E31" s="101"/>
      <c r="F31" s="2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1"/>
      <c r="B32" s="91"/>
      <c r="C32" s="91"/>
      <c r="D32" s="91"/>
      <c r="E32" s="101"/>
      <c r="F32" s="2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1"/>
      <c r="B33" s="91"/>
      <c r="C33" s="91"/>
      <c r="D33" s="91"/>
      <c r="E33" s="101"/>
      <c r="F33" s="2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 t="s">
        <v>132</v>
      </c>
      <c r="B34" s="106" t="s">
        <v>133</v>
      </c>
      <c r="C34" s="43" t="s">
        <v>66</v>
      </c>
      <c r="D34" s="45" t="s">
        <v>134</v>
      </c>
      <c r="E34" s="107"/>
      <c r="F34" s="103" t="s">
        <v>135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1"/>
      <c r="B35" s="63" t="s">
        <v>136</v>
      </c>
      <c r="C35" s="28" t="s">
        <v>66</v>
      </c>
      <c r="D35" s="51" t="s">
        <v>67</v>
      </c>
      <c r="E35" s="107"/>
      <c r="F35" s="103" t="s">
        <v>137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63" t="s">
        <v>139</v>
      </c>
      <c r="C36" s="28" t="s">
        <v>66</v>
      </c>
      <c r="D36" s="51" t="s">
        <v>67</v>
      </c>
      <c r="E36" s="107"/>
      <c r="F36" s="103" t="s">
        <v>141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89" t="s">
        <v>142</v>
      </c>
      <c r="C37" s="108" t="s">
        <v>145</v>
      </c>
      <c r="D37" s="59" t="s">
        <v>67</v>
      </c>
      <c r="E37" s="107"/>
      <c r="F37" s="10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5"/>
      <c r="B38" s="105"/>
      <c r="C38" s="105"/>
      <c r="D38" s="91"/>
      <c r="E38" s="107"/>
      <c r="F38" s="10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5"/>
      <c r="B39" s="105"/>
      <c r="C39" s="105"/>
      <c r="D39" s="91"/>
      <c r="E39" s="107"/>
      <c r="F39" s="10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3" t="s">
        <v>146</v>
      </c>
      <c r="B40" s="102" t="s">
        <v>147</v>
      </c>
      <c r="C40" s="100" t="s">
        <v>149</v>
      </c>
      <c r="D40" s="109" t="s">
        <v>150</v>
      </c>
      <c r="E40" s="107"/>
      <c r="F40" s="10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1"/>
      <c r="B41" s="102" t="s">
        <v>151</v>
      </c>
      <c r="C41" s="104">
        <v>10.0</v>
      </c>
      <c r="D41" s="109" t="s">
        <v>150</v>
      </c>
      <c r="E41" s="101"/>
      <c r="F41" s="103" t="s">
        <v>153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1"/>
      <c r="B42" s="102" t="s">
        <v>154</v>
      </c>
      <c r="C42" s="104">
        <v>10.0</v>
      </c>
      <c r="D42" s="109" t="s">
        <v>150</v>
      </c>
      <c r="E42" s="101"/>
      <c r="F42" s="110" t="s">
        <v>155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1"/>
      <c r="B43" s="102" t="s">
        <v>156</v>
      </c>
      <c r="C43" s="100" t="s">
        <v>157</v>
      </c>
      <c r="D43" s="109" t="s">
        <v>150</v>
      </c>
      <c r="E43" s="101"/>
      <c r="F43" s="2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1"/>
      <c r="B44" s="91"/>
      <c r="C44" s="91"/>
      <c r="D44" s="91"/>
      <c r="E44" s="101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1"/>
      <c r="B45" s="91"/>
      <c r="C45" s="91"/>
      <c r="D45" s="91"/>
      <c r="E45" s="101"/>
      <c r="F45" s="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1" t="s">
        <v>158</v>
      </c>
      <c r="B46" s="111" t="s">
        <v>159</v>
      </c>
      <c r="C46" s="111" t="s">
        <v>160</v>
      </c>
      <c r="D46" s="112" t="s">
        <v>113</v>
      </c>
      <c r="E46" s="101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1"/>
      <c r="B47" s="91"/>
      <c r="C47" s="91"/>
      <c r="D47" s="91"/>
      <c r="E47" s="101"/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113"/>
    </row>
    <row r="49">
      <c r="A49" s="114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6" t="s">
        <v>161</v>
      </c>
      <c r="B50" s="117"/>
      <c r="E50" s="118"/>
      <c r="F50" s="119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>
      <c r="A51" s="121" t="s">
        <v>24</v>
      </c>
      <c r="B51" s="38" t="s">
        <v>29</v>
      </c>
      <c r="C51" s="39">
        <v>12.0</v>
      </c>
      <c r="D51" s="122"/>
      <c r="E51" s="123"/>
      <c r="F51" s="119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>
      <c r="A52" s="113"/>
      <c r="B52" s="38" t="s">
        <v>40</v>
      </c>
      <c r="C52" s="28" t="s">
        <v>43</v>
      </c>
      <c r="D52" s="122"/>
      <c r="E52" s="118"/>
      <c r="F52" s="119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>
      <c r="A53" s="113"/>
      <c r="B53" s="124" t="s">
        <v>44</v>
      </c>
      <c r="C53" s="124" t="s">
        <v>126</v>
      </c>
      <c r="D53" s="122"/>
      <c r="E53" s="118"/>
      <c r="F53" s="119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>
      <c r="A54" s="113"/>
      <c r="B54" s="125"/>
      <c r="C54" s="125"/>
      <c r="D54" s="125"/>
      <c r="E54" s="118"/>
      <c r="F54" s="119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>
      <c r="A55" s="126"/>
      <c r="B55" s="127"/>
      <c r="C55" s="127"/>
      <c r="D55" s="127"/>
      <c r="E55" s="118"/>
      <c r="F55" s="119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>
      <c r="A56" s="121" t="s">
        <v>162</v>
      </c>
      <c r="B56" s="128" t="s">
        <v>163</v>
      </c>
      <c r="C56" s="129"/>
      <c r="D56" s="130" t="s">
        <v>42</v>
      </c>
      <c r="E56" s="118"/>
      <c r="F56" s="131" t="s">
        <v>164</v>
      </c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>
      <c r="A57" s="132"/>
      <c r="B57" s="128" t="s">
        <v>165</v>
      </c>
      <c r="C57" s="129" t="s">
        <v>166</v>
      </c>
      <c r="D57" s="130" t="s">
        <v>42</v>
      </c>
      <c r="E57" s="94"/>
      <c r="F57" s="133" t="s">
        <v>167</v>
      </c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>
      <c r="A58" s="126"/>
      <c r="B58" s="128" t="s">
        <v>168</v>
      </c>
      <c r="C58" s="129" t="s">
        <v>82</v>
      </c>
      <c r="D58" s="130" t="s">
        <v>170</v>
      </c>
      <c r="E58" s="94"/>
      <c r="F58" s="135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>
      <c r="A59" s="126"/>
      <c r="B59" s="128" t="s">
        <v>171</v>
      </c>
      <c r="C59" s="129" t="s">
        <v>173</v>
      </c>
      <c r="D59" s="130" t="s">
        <v>42</v>
      </c>
      <c r="E59" s="94"/>
      <c r="F59" s="133" t="s">
        <v>174</v>
      </c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>
      <c r="A60" s="126"/>
      <c r="B60" s="128" t="s">
        <v>175</v>
      </c>
      <c r="C60" s="129" t="s">
        <v>82</v>
      </c>
      <c r="D60" s="130" t="s">
        <v>42</v>
      </c>
      <c r="E60" s="94"/>
      <c r="F60" s="135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>
      <c r="A61" s="126"/>
      <c r="B61" s="136"/>
      <c r="C61" s="136"/>
      <c r="D61" s="136"/>
      <c r="E61" s="137"/>
      <c r="F61" s="135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>
      <c r="A62" s="11" t="s">
        <v>177</v>
      </c>
      <c r="B62" s="111" t="s">
        <v>159</v>
      </c>
      <c r="C62" s="111" t="s">
        <v>178</v>
      </c>
      <c r="D62" s="138" t="s">
        <v>113</v>
      </c>
      <c r="E62" s="139"/>
      <c r="F62" s="136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16.5" customHeight="1">
      <c r="A63" s="141"/>
      <c r="B63" s="141"/>
      <c r="C63" s="141"/>
      <c r="D63" s="141"/>
      <c r="E63" s="142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ht="16.5" customHeight="1">
      <c r="A64" s="141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4" t="s">
        <v>180</v>
      </c>
      <c r="B66" s="4"/>
      <c r="C66" s="4"/>
      <c r="D66" s="4"/>
      <c r="E66" s="4"/>
      <c r="F66" s="4"/>
      <c r="G66" s="6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>
      <c r="A67" s="145" t="s">
        <v>181</v>
      </c>
      <c r="B67" s="4"/>
      <c r="C67" s="4"/>
      <c r="D67" s="4"/>
      <c r="E67" s="4"/>
      <c r="F67" s="4"/>
      <c r="G67" s="6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146" t="s">
        <v>183</v>
      </c>
      <c r="B68" s="4"/>
      <c r="C68" s="4"/>
      <c r="D68" s="4"/>
      <c r="E68" s="4"/>
      <c r="F68" s="4"/>
      <c r="G68" s="6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145" t="s">
        <v>184</v>
      </c>
      <c r="B69" s="4"/>
      <c r="C69" s="4"/>
      <c r="D69" s="4"/>
      <c r="E69" s="4"/>
      <c r="F69" s="4"/>
      <c r="G69" s="6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146" t="s">
        <v>185</v>
      </c>
      <c r="B70" s="4"/>
      <c r="C70" s="4"/>
      <c r="D70" s="4"/>
      <c r="E70" s="4"/>
      <c r="F70" s="4"/>
      <c r="G70" s="6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7"/>
      <c r="B71" s="77"/>
      <c r="C71" s="77"/>
      <c r="D71" s="77"/>
      <c r="E71" s="147"/>
      <c r="F71" s="77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7"/>
      <c r="B72" s="77"/>
      <c r="C72" s="77"/>
      <c r="D72" s="77"/>
      <c r="E72" s="147"/>
      <c r="F72" s="77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7"/>
      <c r="B73" s="77"/>
      <c r="C73" s="77"/>
      <c r="D73" s="77"/>
      <c r="E73" s="147"/>
      <c r="F73" s="77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7"/>
      <c r="B74" s="77"/>
      <c r="C74" s="77"/>
      <c r="D74" s="77"/>
      <c r="E74" s="147"/>
      <c r="F74" s="77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7"/>
      <c r="B75" s="77"/>
      <c r="C75" s="77"/>
      <c r="D75" s="77"/>
      <c r="E75" s="147"/>
      <c r="F75" s="77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7"/>
      <c r="B76" s="77"/>
      <c r="C76" s="77"/>
      <c r="D76" s="77"/>
      <c r="E76" s="147"/>
      <c r="F76" s="77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7"/>
      <c r="B77" s="77"/>
      <c r="C77" s="77"/>
      <c r="D77" s="77"/>
      <c r="E77" s="147"/>
      <c r="F77" s="77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7"/>
      <c r="B78" s="77"/>
      <c r="C78" s="77"/>
      <c r="D78" s="77"/>
      <c r="E78" s="147"/>
      <c r="F78" s="77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7"/>
      <c r="B79" s="77"/>
      <c r="C79" s="77"/>
      <c r="D79" s="77"/>
      <c r="E79" s="147"/>
      <c r="F79" s="77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7"/>
      <c r="B80" s="77"/>
      <c r="C80" s="77"/>
      <c r="D80" s="77"/>
      <c r="E80" s="147"/>
      <c r="F80" s="77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7"/>
      <c r="B81" s="77"/>
      <c r="C81" s="77"/>
      <c r="D81" s="77"/>
      <c r="E81" s="147"/>
      <c r="F81" s="77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7"/>
      <c r="B82" s="77"/>
      <c r="C82" s="77"/>
      <c r="D82" s="77"/>
      <c r="E82" s="147"/>
      <c r="F82" s="77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7"/>
      <c r="B83" s="77"/>
      <c r="C83" s="77"/>
      <c r="D83" s="77"/>
      <c r="E83" s="147"/>
      <c r="F83" s="77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7"/>
      <c r="B84" s="77"/>
      <c r="C84" s="77"/>
      <c r="D84" s="77"/>
      <c r="E84" s="147"/>
      <c r="F84" s="77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7"/>
      <c r="B85" s="77"/>
      <c r="C85" s="77"/>
      <c r="D85" s="77"/>
      <c r="E85" s="147"/>
      <c r="F85" s="77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7"/>
      <c r="B86" s="77"/>
      <c r="C86" s="77"/>
      <c r="D86" s="77"/>
      <c r="E86" s="147"/>
      <c r="F86" s="77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7"/>
      <c r="B87" s="77"/>
      <c r="C87" s="77"/>
      <c r="D87" s="77"/>
      <c r="E87" s="147"/>
      <c r="F87" s="77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7"/>
      <c r="B88" s="77"/>
      <c r="C88" s="77"/>
      <c r="D88" s="77"/>
      <c r="E88" s="147"/>
      <c r="F88" s="77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7"/>
      <c r="B89" s="77"/>
      <c r="C89" s="77"/>
      <c r="D89" s="77"/>
      <c r="E89" s="147"/>
      <c r="F89" s="77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7"/>
      <c r="B90" s="77"/>
      <c r="C90" s="77"/>
      <c r="D90" s="77"/>
      <c r="E90" s="147"/>
      <c r="F90" s="77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7"/>
      <c r="B91" s="77"/>
      <c r="C91" s="77"/>
      <c r="D91" s="77"/>
      <c r="E91" s="147"/>
      <c r="F91" s="77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7"/>
      <c r="B92" s="77"/>
      <c r="C92" s="77"/>
      <c r="D92" s="77"/>
      <c r="E92" s="147"/>
      <c r="F92" s="77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7"/>
      <c r="B93" s="77"/>
      <c r="C93" s="77"/>
      <c r="D93" s="77"/>
      <c r="E93" s="147"/>
      <c r="F93" s="77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7"/>
      <c r="B94" s="77"/>
      <c r="C94" s="77"/>
      <c r="D94" s="77"/>
      <c r="E94" s="147"/>
      <c r="F94" s="77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7"/>
      <c r="B95" s="77"/>
      <c r="C95" s="77"/>
      <c r="D95" s="77"/>
      <c r="E95" s="147"/>
      <c r="F95" s="77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7"/>
      <c r="B96" s="77"/>
      <c r="C96" s="77"/>
      <c r="D96" s="77"/>
      <c r="E96" s="147"/>
      <c r="F96" s="77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7"/>
      <c r="B97" s="77"/>
      <c r="C97" s="77"/>
      <c r="D97" s="77"/>
      <c r="E97" s="147"/>
      <c r="F97" s="77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7"/>
      <c r="B98" s="77"/>
      <c r="C98" s="77"/>
      <c r="D98" s="77"/>
      <c r="E98" s="147"/>
      <c r="F98" s="77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7"/>
      <c r="B99" s="77"/>
      <c r="C99" s="77"/>
      <c r="D99" s="77"/>
      <c r="E99" s="147"/>
      <c r="F99" s="77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7"/>
      <c r="B100" s="77"/>
      <c r="C100" s="77"/>
      <c r="D100" s="77"/>
      <c r="E100" s="147"/>
      <c r="F100" s="77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7"/>
      <c r="B101" s="77"/>
      <c r="C101" s="77"/>
      <c r="D101" s="77"/>
      <c r="E101" s="147"/>
      <c r="F101" s="77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7"/>
      <c r="B102" s="77"/>
      <c r="C102" s="77"/>
      <c r="D102" s="77"/>
      <c r="E102" s="147"/>
      <c r="F102" s="77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7"/>
      <c r="B103" s="77"/>
      <c r="C103" s="77"/>
      <c r="D103" s="77"/>
      <c r="E103" s="147"/>
      <c r="F103" s="77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7"/>
      <c r="B104" s="77"/>
      <c r="C104" s="77"/>
      <c r="D104" s="77"/>
      <c r="E104" s="147"/>
      <c r="F104" s="77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7"/>
      <c r="B105" s="77"/>
      <c r="C105" s="77"/>
      <c r="D105" s="77"/>
      <c r="E105" s="147"/>
      <c r="F105" s="77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7"/>
      <c r="B106" s="77"/>
      <c r="C106" s="77"/>
      <c r="D106" s="77"/>
      <c r="E106" s="147"/>
      <c r="F106" s="77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7"/>
      <c r="B107" s="77"/>
      <c r="C107" s="77"/>
      <c r="D107" s="77"/>
      <c r="E107" s="147"/>
      <c r="F107" s="77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7"/>
      <c r="B108" s="77"/>
      <c r="C108" s="77"/>
      <c r="D108" s="77"/>
      <c r="E108" s="147"/>
      <c r="F108" s="77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7"/>
      <c r="B109" s="77"/>
      <c r="C109" s="77"/>
      <c r="D109" s="77"/>
      <c r="E109" s="147"/>
      <c r="F109" s="77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7"/>
      <c r="B110" s="77"/>
      <c r="C110" s="77"/>
      <c r="D110" s="77"/>
      <c r="E110" s="147"/>
      <c r="F110" s="77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7"/>
      <c r="B111" s="77"/>
      <c r="C111" s="77"/>
      <c r="D111" s="77"/>
      <c r="E111" s="147"/>
      <c r="F111" s="77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7"/>
      <c r="B112" s="77"/>
      <c r="C112" s="77"/>
      <c r="D112" s="77"/>
      <c r="E112" s="147"/>
      <c r="F112" s="77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7"/>
      <c r="B113" s="77"/>
      <c r="C113" s="77"/>
      <c r="D113" s="77"/>
      <c r="E113" s="147"/>
      <c r="F113" s="77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7"/>
      <c r="B114" s="77"/>
      <c r="C114" s="77"/>
      <c r="D114" s="77"/>
      <c r="E114" s="147"/>
      <c r="F114" s="77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7"/>
      <c r="B115" s="77"/>
      <c r="C115" s="77"/>
      <c r="D115" s="77"/>
      <c r="E115" s="147"/>
      <c r="F115" s="77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7"/>
      <c r="B116" s="77"/>
      <c r="C116" s="77"/>
      <c r="D116" s="77"/>
      <c r="E116" s="147"/>
      <c r="F116" s="77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7"/>
      <c r="B117" s="77"/>
      <c r="C117" s="77"/>
      <c r="D117" s="77"/>
      <c r="E117" s="147"/>
      <c r="F117" s="77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7"/>
      <c r="B118" s="77"/>
      <c r="C118" s="77"/>
      <c r="D118" s="77"/>
      <c r="E118" s="147"/>
      <c r="F118" s="77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7"/>
      <c r="B119" s="77"/>
      <c r="C119" s="77"/>
      <c r="D119" s="77"/>
      <c r="E119" s="147"/>
      <c r="F119" s="77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7"/>
      <c r="B120" s="77"/>
      <c r="C120" s="77"/>
      <c r="D120" s="77"/>
      <c r="E120" s="147"/>
      <c r="F120" s="77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7"/>
      <c r="B121" s="77"/>
      <c r="C121" s="77"/>
      <c r="D121" s="77"/>
      <c r="E121" s="147"/>
      <c r="F121" s="77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7"/>
      <c r="B122" s="77"/>
      <c r="C122" s="77"/>
      <c r="D122" s="77"/>
      <c r="E122" s="147"/>
      <c r="F122" s="77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7"/>
      <c r="B123" s="77"/>
      <c r="C123" s="77"/>
      <c r="D123" s="77"/>
      <c r="E123" s="147"/>
      <c r="F123" s="77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7"/>
      <c r="B124" s="77"/>
      <c r="C124" s="77"/>
      <c r="D124" s="77"/>
      <c r="E124" s="147"/>
      <c r="F124" s="77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7"/>
      <c r="B125" s="77"/>
      <c r="C125" s="77"/>
      <c r="D125" s="77"/>
      <c r="E125" s="147"/>
      <c r="F125" s="77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7"/>
      <c r="B126" s="77"/>
      <c r="C126" s="77"/>
      <c r="D126" s="77"/>
      <c r="E126" s="147"/>
      <c r="F126" s="77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7"/>
      <c r="B127" s="77"/>
      <c r="C127" s="77"/>
      <c r="D127" s="77"/>
      <c r="E127" s="147"/>
      <c r="F127" s="77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7"/>
      <c r="B128" s="77"/>
      <c r="C128" s="77"/>
      <c r="D128" s="77"/>
      <c r="E128" s="147"/>
      <c r="F128" s="77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7"/>
      <c r="B129" s="77"/>
      <c r="C129" s="77"/>
      <c r="D129" s="77"/>
      <c r="E129" s="147"/>
      <c r="F129" s="77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7"/>
      <c r="B130" s="77"/>
      <c r="C130" s="77"/>
      <c r="D130" s="77"/>
      <c r="E130" s="147"/>
      <c r="F130" s="77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7"/>
      <c r="B131" s="77"/>
      <c r="C131" s="77"/>
      <c r="D131" s="77"/>
      <c r="E131" s="147"/>
      <c r="F131" s="77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7"/>
      <c r="B132" s="77"/>
      <c r="C132" s="77"/>
      <c r="D132" s="77"/>
      <c r="E132" s="147"/>
      <c r="F132" s="77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7"/>
      <c r="B133" s="77"/>
      <c r="C133" s="77"/>
      <c r="D133" s="77"/>
      <c r="E133" s="147"/>
      <c r="F133" s="77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7"/>
      <c r="B134" s="77"/>
      <c r="C134" s="77"/>
      <c r="D134" s="77"/>
      <c r="E134" s="147"/>
      <c r="F134" s="77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7"/>
      <c r="B135" s="77"/>
      <c r="C135" s="77"/>
      <c r="D135" s="77"/>
      <c r="E135" s="147"/>
      <c r="F135" s="77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7"/>
      <c r="B136" s="77"/>
      <c r="C136" s="77"/>
      <c r="D136" s="77"/>
      <c r="E136" s="147"/>
      <c r="F136" s="77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7"/>
      <c r="B137" s="77"/>
      <c r="C137" s="77"/>
      <c r="D137" s="77"/>
      <c r="E137" s="147"/>
      <c r="F137" s="77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7"/>
      <c r="B138" s="77"/>
      <c r="C138" s="77"/>
      <c r="D138" s="77"/>
      <c r="E138" s="147"/>
      <c r="F138" s="77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7"/>
      <c r="B139" s="77"/>
      <c r="C139" s="77"/>
      <c r="D139" s="77"/>
      <c r="E139" s="147"/>
      <c r="F139" s="77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7"/>
      <c r="B140" s="77"/>
      <c r="C140" s="77"/>
      <c r="D140" s="77"/>
      <c r="E140" s="147"/>
      <c r="F140" s="77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7"/>
      <c r="B141" s="77"/>
      <c r="C141" s="77"/>
      <c r="D141" s="77"/>
      <c r="E141" s="147"/>
      <c r="F141" s="77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7"/>
      <c r="B142" s="77"/>
      <c r="C142" s="77"/>
      <c r="D142" s="77"/>
      <c r="E142" s="147"/>
      <c r="F142" s="77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7"/>
      <c r="B143" s="77"/>
      <c r="C143" s="77"/>
      <c r="D143" s="77"/>
      <c r="E143" s="147"/>
      <c r="F143" s="77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7"/>
      <c r="B144" s="77"/>
      <c r="C144" s="77"/>
      <c r="D144" s="77"/>
      <c r="E144" s="147"/>
      <c r="F144" s="77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7"/>
      <c r="B145" s="77"/>
      <c r="C145" s="77"/>
      <c r="D145" s="77"/>
      <c r="E145" s="147"/>
      <c r="F145" s="77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7"/>
      <c r="B146" s="77"/>
      <c r="C146" s="77"/>
      <c r="D146" s="77"/>
      <c r="E146" s="147"/>
      <c r="F146" s="77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7"/>
      <c r="B147" s="77"/>
      <c r="C147" s="77"/>
      <c r="D147" s="77"/>
      <c r="E147" s="147"/>
      <c r="F147" s="77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7"/>
      <c r="B148" s="77"/>
      <c r="C148" s="77"/>
      <c r="D148" s="77"/>
      <c r="E148" s="147"/>
      <c r="F148" s="77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7"/>
      <c r="B149" s="77"/>
      <c r="C149" s="77"/>
      <c r="D149" s="77"/>
      <c r="E149" s="147"/>
      <c r="F149" s="77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7"/>
      <c r="B150" s="77"/>
      <c r="C150" s="77"/>
      <c r="D150" s="77"/>
      <c r="E150" s="147"/>
      <c r="F150" s="77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7"/>
      <c r="B151" s="77"/>
      <c r="C151" s="77"/>
      <c r="D151" s="77"/>
      <c r="E151" s="147"/>
      <c r="F151" s="77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7"/>
      <c r="B152" s="77"/>
      <c r="C152" s="77"/>
      <c r="D152" s="77"/>
      <c r="E152" s="147"/>
      <c r="F152" s="77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7"/>
      <c r="B153" s="77"/>
      <c r="C153" s="77"/>
      <c r="D153" s="77"/>
      <c r="E153" s="147"/>
      <c r="F153" s="77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7"/>
      <c r="B154" s="77"/>
      <c r="C154" s="77"/>
      <c r="D154" s="77"/>
      <c r="E154" s="147"/>
      <c r="F154" s="77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7"/>
      <c r="B155" s="77"/>
      <c r="C155" s="77"/>
      <c r="D155" s="77"/>
      <c r="E155" s="147"/>
      <c r="F155" s="77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7"/>
      <c r="B156" s="77"/>
      <c r="C156" s="77"/>
      <c r="D156" s="77"/>
      <c r="E156" s="147"/>
      <c r="F156" s="77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7"/>
      <c r="B157" s="77"/>
      <c r="C157" s="77"/>
      <c r="D157" s="77"/>
      <c r="E157" s="147"/>
      <c r="F157" s="77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7"/>
      <c r="B158" s="77"/>
      <c r="C158" s="77"/>
      <c r="D158" s="77"/>
      <c r="E158" s="147"/>
      <c r="F158" s="77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7"/>
      <c r="B159" s="77"/>
      <c r="C159" s="77"/>
      <c r="D159" s="77"/>
      <c r="E159" s="147"/>
      <c r="F159" s="77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7"/>
      <c r="B160" s="77"/>
      <c r="C160" s="77"/>
      <c r="D160" s="77"/>
      <c r="E160" s="147"/>
      <c r="F160" s="77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7"/>
      <c r="B161" s="77"/>
      <c r="C161" s="77"/>
      <c r="D161" s="77"/>
      <c r="E161" s="147"/>
      <c r="F161" s="77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7"/>
      <c r="B162" s="77"/>
      <c r="C162" s="77"/>
      <c r="D162" s="77"/>
      <c r="E162" s="147"/>
      <c r="F162" s="77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7"/>
      <c r="B163" s="77"/>
      <c r="C163" s="77"/>
      <c r="D163" s="77"/>
      <c r="E163" s="147"/>
      <c r="F163" s="77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7"/>
      <c r="B164" s="77"/>
      <c r="C164" s="77"/>
      <c r="D164" s="77"/>
      <c r="E164" s="147"/>
      <c r="F164" s="77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7"/>
      <c r="B165" s="77"/>
      <c r="C165" s="77"/>
      <c r="D165" s="77"/>
      <c r="E165" s="147"/>
      <c r="F165" s="77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7"/>
      <c r="B166" s="77"/>
      <c r="C166" s="77"/>
      <c r="D166" s="77"/>
      <c r="E166" s="147"/>
      <c r="F166" s="77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7"/>
      <c r="B167" s="77"/>
      <c r="C167" s="77"/>
      <c r="D167" s="77"/>
      <c r="E167" s="147"/>
      <c r="F167" s="77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7"/>
      <c r="B168" s="77"/>
      <c r="C168" s="77"/>
      <c r="D168" s="77"/>
      <c r="E168" s="147"/>
      <c r="F168" s="77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7"/>
      <c r="B169" s="77"/>
      <c r="C169" s="77"/>
      <c r="D169" s="77"/>
      <c r="E169" s="147"/>
      <c r="F169" s="77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7"/>
      <c r="B170" s="77"/>
      <c r="C170" s="77"/>
      <c r="D170" s="77"/>
      <c r="E170" s="147"/>
      <c r="F170" s="77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7"/>
      <c r="B171" s="77"/>
      <c r="C171" s="77"/>
      <c r="D171" s="77"/>
      <c r="E171" s="147"/>
      <c r="F171" s="77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7"/>
      <c r="B172" s="77"/>
      <c r="C172" s="77"/>
      <c r="D172" s="77"/>
      <c r="E172" s="147"/>
      <c r="F172" s="77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7"/>
      <c r="B173" s="77"/>
      <c r="C173" s="77"/>
      <c r="D173" s="77"/>
      <c r="E173" s="147"/>
      <c r="F173" s="77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7"/>
      <c r="B174" s="77"/>
      <c r="C174" s="77"/>
      <c r="D174" s="77"/>
      <c r="E174" s="147"/>
      <c r="F174" s="77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7"/>
      <c r="B175" s="77"/>
      <c r="C175" s="77"/>
      <c r="D175" s="77"/>
      <c r="E175" s="147"/>
      <c r="F175" s="77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7"/>
      <c r="B176" s="77"/>
      <c r="C176" s="77"/>
      <c r="D176" s="77"/>
      <c r="E176" s="147"/>
      <c r="F176" s="77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7"/>
      <c r="B177" s="77"/>
      <c r="C177" s="77"/>
      <c r="D177" s="77"/>
      <c r="E177" s="147"/>
      <c r="F177" s="77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7"/>
      <c r="B178" s="77"/>
      <c r="C178" s="77"/>
      <c r="D178" s="77"/>
      <c r="E178" s="147"/>
      <c r="F178" s="77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7"/>
      <c r="B179" s="77"/>
      <c r="C179" s="77"/>
      <c r="D179" s="77"/>
      <c r="E179" s="147"/>
      <c r="F179" s="77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7"/>
      <c r="B180" s="77"/>
      <c r="C180" s="77"/>
      <c r="D180" s="77"/>
      <c r="E180" s="147"/>
      <c r="F180" s="77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7"/>
      <c r="B181" s="77"/>
      <c r="C181" s="77"/>
      <c r="D181" s="77"/>
      <c r="E181" s="147"/>
      <c r="F181" s="77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7"/>
      <c r="B182" s="77"/>
      <c r="C182" s="77"/>
      <c r="D182" s="77"/>
      <c r="E182" s="147"/>
      <c r="F182" s="77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7"/>
      <c r="B183" s="77"/>
      <c r="C183" s="77"/>
      <c r="D183" s="77"/>
      <c r="E183" s="147"/>
      <c r="F183" s="77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7"/>
      <c r="B184" s="77"/>
      <c r="C184" s="77"/>
      <c r="D184" s="77"/>
      <c r="E184" s="147"/>
      <c r="F184" s="77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7"/>
      <c r="B185" s="77"/>
      <c r="C185" s="77"/>
      <c r="D185" s="77"/>
      <c r="E185" s="147"/>
      <c r="F185" s="77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7"/>
      <c r="B186" s="77"/>
      <c r="C186" s="77"/>
      <c r="D186" s="77"/>
      <c r="E186" s="147"/>
      <c r="F186" s="77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7"/>
      <c r="B187" s="77"/>
      <c r="C187" s="77"/>
      <c r="D187" s="77"/>
      <c r="E187" s="147"/>
      <c r="F187" s="77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7"/>
      <c r="B188" s="77"/>
      <c r="C188" s="77"/>
      <c r="D188" s="77"/>
      <c r="E188" s="147"/>
      <c r="F188" s="77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7"/>
      <c r="B189" s="77"/>
      <c r="C189" s="77"/>
      <c r="D189" s="77"/>
      <c r="E189" s="147"/>
      <c r="F189" s="77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7"/>
      <c r="B190" s="77"/>
      <c r="C190" s="77"/>
      <c r="D190" s="77"/>
      <c r="E190" s="147"/>
      <c r="F190" s="77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7"/>
      <c r="B191" s="77"/>
      <c r="C191" s="77"/>
      <c r="D191" s="77"/>
      <c r="E191" s="147"/>
      <c r="F191" s="77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7"/>
      <c r="B192" s="77"/>
      <c r="C192" s="77"/>
      <c r="D192" s="77"/>
      <c r="E192" s="147"/>
      <c r="F192" s="77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7"/>
      <c r="B193" s="77"/>
      <c r="C193" s="77"/>
      <c r="D193" s="77"/>
      <c r="E193" s="147"/>
      <c r="F193" s="77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7"/>
      <c r="B194" s="77"/>
      <c r="C194" s="77"/>
      <c r="D194" s="77"/>
      <c r="E194" s="147"/>
      <c r="F194" s="77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7"/>
      <c r="B195" s="77"/>
      <c r="C195" s="77"/>
      <c r="D195" s="77"/>
      <c r="E195" s="147"/>
      <c r="F195" s="77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7"/>
      <c r="B196" s="77"/>
      <c r="C196" s="77"/>
      <c r="D196" s="77"/>
      <c r="E196" s="147"/>
      <c r="F196" s="77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7"/>
      <c r="B197" s="77"/>
      <c r="C197" s="77"/>
      <c r="D197" s="77"/>
      <c r="E197" s="147"/>
      <c r="F197" s="77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7"/>
      <c r="B198" s="77"/>
      <c r="C198" s="77"/>
      <c r="D198" s="77"/>
      <c r="E198" s="147"/>
      <c r="F198" s="77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7"/>
      <c r="B199" s="77"/>
      <c r="C199" s="77"/>
      <c r="D199" s="77"/>
      <c r="E199" s="147"/>
      <c r="F199" s="77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7"/>
      <c r="B200" s="77"/>
      <c r="C200" s="77"/>
      <c r="D200" s="77"/>
      <c r="E200" s="147"/>
      <c r="F200" s="77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7"/>
      <c r="B201" s="77"/>
      <c r="C201" s="77"/>
      <c r="D201" s="77"/>
      <c r="E201" s="147"/>
      <c r="F201" s="77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7"/>
      <c r="B202" s="77"/>
      <c r="C202" s="77"/>
      <c r="D202" s="77"/>
      <c r="E202" s="147"/>
      <c r="F202" s="77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7"/>
      <c r="B203" s="77"/>
      <c r="C203" s="77"/>
      <c r="D203" s="77"/>
      <c r="E203" s="147"/>
      <c r="F203" s="77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7"/>
      <c r="B204" s="77"/>
      <c r="C204" s="77"/>
      <c r="D204" s="77"/>
      <c r="E204" s="147"/>
      <c r="F204" s="77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7"/>
      <c r="B205" s="77"/>
      <c r="C205" s="77"/>
      <c r="D205" s="77"/>
      <c r="E205" s="147"/>
      <c r="F205" s="77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7"/>
      <c r="B206" s="77"/>
      <c r="C206" s="77"/>
      <c r="D206" s="77"/>
      <c r="E206" s="147"/>
      <c r="F206" s="77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7"/>
      <c r="B207" s="77"/>
      <c r="C207" s="77"/>
      <c r="D207" s="77"/>
      <c r="E207" s="147"/>
      <c r="F207" s="77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7"/>
      <c r="B208" s="77"/>
      <c r="C208" s="77"/>
      <c r="D208" s="77"/>
      <c r="E208" s="147"/>
      <c r="F208" s="77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7"/>
      <c r="B209" s="77"/>
      <c r="C209" s="77"/>
      <c r="D209" s="77"/>
      <c r="E209" s="147"/>
      <c r="F209" s="77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7"/>
      <c r="B210" s="77"/>
      <c r="C210" s="77"/>
      <c r="D210" s="77"/>
      <c r="E210" s="147"/>
      <c r="F210" s="77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7"/>
      <c r="B211" s="77"/>
      <c r="C211" s="77"/>
      <c r="D211" s="77"/>
      <c r="E211" s="147"/>
      <c r="F211" s="77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7"/>
      <c r="B212" s="77"/>
      <c r="C212" s="77"/>
      <c r="D212" s="77"/>
      <c r="E212" s="147"/>
      <c r="F212" s="77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7"/>
      <c r="B213" s="77"/>
      <c r="C213" s="77"/>
      <c r="D213" s="77"/>
      <c r="E213" s="147"/>
      <c r="F213" s="77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7"/>
      <c r="B214" s="77"/>
      <c r="C214" s="77"/>
      <c r="D214" s="77"/>
      <c r="E214" s="147"/>
      <c r="F214" s="77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7"/>
      <c r="B215" s="77"/>
      <c r="C215" s="77"/>
      <c r="D215" s="77"/>
      <c r="E215" s="147"/>
      <c r="F215" s="77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7"/>
      <c r="B216" s="77"/>
      <c r="C216" s="77"/>
      <c r="D216" s="77"/>
      <c r="E216" s="147"/>
      <c r="F216" s="77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7"/>
      <c r="B217" s="77"/>
      <c r="C217" s="77"/>
      <c r="D217" s="77"/>
      <c r="E217" s="147"/>
      <c r="F217" s="77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7"/>
      <c r="B218" s="77"/>
      <c r="C218" s="77"/>
      <c r="D218" s="77"/>
      <c r="E218" s="147"/>
      <c r="F218" s="77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7"/>
      <c r="B219" s="77"/>
      <c r="C219" s="77"/>
      <c r="D219" s="77"/>
      <c r="E219" s="147"/>
      <c r="F219" s="77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7"/>
      <c r="B220" s="77"/>
      <c r="C220" s="77"/>
      <c r="D220" s="77"/>
      <c r="E220" s="147"/>
      <c r="F220" s="77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7"/>
      <c r="B221" s="77"/>
      <c r="C221" s="77"/>
      <c r="D221" s="77"/>
      <c r="E221" s="147"/>
      <c r="F221" s="77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7"/>
      <c r="B222" s="77"/>
      <c r="C222" s="77"/>
      <c r="D222" s="77"/>
      <c r="E222" s="147"/>
      <c r="F222" s="77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7"/>
      <c r="B223" s="77"/>
      <c r="C223" s="77"/>
      <c r="D223" s="77"/>
      <c r="E223" s="147"/>
      <c r="F223" s="77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7"/>
      <c r="B224" s="77"/>
      <c r="C224" s="77"/>
      <c r="D224" s="77"/>
      <c r="E224" s="147"/>
      <c r="F224" s="77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7"/>
      <c r="B225" s="77"/>
      <c r="C225" s="77"/>
      <c r="D225" s="77"/>
      <c r="E225" s="147"/>
      <c r="F225" s="77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7"/>
      <c r="B226" s="77"/>
      <c r="C226" s="77"/>
      <c r="D226" s="77"/>
      <c r="E226" s="147"/>
      <c r="F226" s="77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7"/>
      <c r="B227" s="77"/>
      <c r="C227" s="77"/>
      <c r="D227" s="77"/>
      <c r="E227" s="147"/>
      <c r="F227" s="77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7"/>
      <c r="B228" s="77"/>
      <c r="C228" s="77"/>
      <c r="D228" s="77"/>
      <c r="E228" s="147"/>
      <c r="F228" s="77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7"/>
      <c r="B229" s="77"/>
      <c r="C229" s="77"/>
      <c r="D229" s="77"/>
      <c r="E229" s="147"/>
      <c r="F229" s="77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7"/>
      <c r="B230" s="77"/>
      <c r="C230" s="77"/>
      <c r="D230" s="77"/>
      <c r="E230" s="147"/>
      <c r="F230" s="77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7"/>
      <c r="B231" s="77"/>
      <c r="C231" s="77"/>
      <c r="D231" s="77"/>
      <c r="E231" s="147"/>
      <c r="F231" s="77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7"/>
      <c r="B232" s="77"/>
      <c r="C232" s="77"/>
      <c r="D232" s="77"/>
      <c r="E232" s="147"/>
      <c r="F232" s="77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7"/>
      <c r="B233" s="77"/>
      <c r="C233" s="77"/>
      <c r="D233" s="77"/>
      <c r="E233" s="147"/>
      <c r="F233" s="77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7"/>
      <c r="B234" s="77"/>
      <c r="C234" s="77"/>
      <c r="D234" s="77"/>
      <c r="E234" s="147"/>
      <c r="F234" s="77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7"/>
      <c r="B235" s="77"/>
      <c r="C235" s="77"/>
      <c r="D235" s="77"/>
      <c r="E235" s="147"/>
      <c r="F235" s="77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7"/>
      <c r="B236" s="77"/>
      <c r="C236" s="77"/>
      <c r="D236" s="77"/>
      <c r="E236" s="147"/>
      <c r="F236" s="77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7"/>
      <c r="B237" s="77"/>
      <c r="C237" s="77"/>
      <c r="D237" s="77"/>
      <c r="E237" s="147"/>
      <c r="F237" s="77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7"/>
      <c r="B238" s="77"/>
      <c r="C238" s="77"/>
      <c r="D238" s="77"/>
      <c r="E238" s="147"/>
      <c r="F238" s="77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7"/>
      <c r="B239" s="77"/>
      <c r="C239" s="77"/>
      <c r="D239" s="77"/>
      <c r="E239" s="147"/>
      <c r="F239" s="77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7"/>
      <c r="B240" s="77"/>
      <c r="C240" s="77"/>
      <c r="D240" s="77"/>
      <c r="E240" s="147"/>
      <c r="F240" s="77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7"/>
      <c r="B241" s="77"/>
      <c r="C241" s="77"/>
      <c r="D241" s="77"/>
      <c r="E241" s="147"/>
      <c r="F241" s="77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7"/>
      <c r="B242" s="77"/>
      <c r="C242" s="77"/>
      <c r="D242" s="77"/>
      <c r="E242" s="147"/>
      <c r="F242" s="77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7"/>
      <c r="B243" s="77"/>
      <c r="C243" s="77"/>
      <c r="D243" s="77"/>
      <c r="E243" s="147"/>
      <c r="F243" s="77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7"/>
      <c r="B244" s="77"/>
      <c r="C244" s="77"/>
      <c r="D244" s="77"/>
      <c r="E244" s="147"/>
      <c r="F244" s="77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7"/>
      <c r="B245" s="77"/>
      <c r="C245" s="77"/>
      <c r="D245" s="77"/>
      <c r="E245" s="147"/>
      <c r="F245" s="77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7"/>
      <c r="B246" s="77"/>
      <c r="C246" s="77"/>
      <c r="D246" s="77"/>
      <c r="E246" s="147"/>
      <c r="F246" s="77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7"/>
      <c r="B247" s="77"/>
      <c r="C247" s="77"/>
      <c r="D247" s="77"/>
      <c r="E247" s="147"/>
      <c r="F247" s="77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7"/>
      <c r="B248" s="77"/>
      <c r="C248" s="77"/>
      <c r="D248" s="77"/>
      <c r="E248" s="147"/>
      <c r="F248" s="77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7"/>
      <c r="B249" s="77"/>
      <c r="C249" s="77"/>
      <c r="D249" s="77"/>
      <c r="E249" s="147"/>
      <c r="F249" s="77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7"/>
      <c r="B250" s="77"/>
      <c r="C250" s="77"/>
      <c r="D250" s="77"/>
      <c r="E250" s="147"/>
      <c r="F250" s="77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7"/>
      <c r="B251" s="77"/>
      <c r="C251" s="77"/>
      <c r="D251" s="77"/>
      <c r="E251" s="147"/>
      <c r="F251" s="77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7"/>
      <c r="B252" s="77"/>
      <c r="C252" s="77"/>
      <c r="D252" s="77"/>
      <c r="E252" s="147"/>
      <c r="F252" s="77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7"/>
      <c r="B253" s="77"/>
      <c r="C253" s="77"/>
      <c r="D253" s="77"/>
      <c r="E253" s="147"/>
      <c r="F253" s="77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7"/>
      <c r="B254" s="77"/>
      <c r="C254" s="77"/>
      <c r="D254" s="77"/>
      <c r="E254" s="147"/>
      <c r="F254" s="77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7"/>
      <c r="B255" s="77"/>
      <c r="C255" s="77"/>
      <c r="D255" s="77"/>
      <c r="E255" s="147"/>
      <c r="F255" s="77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7"/>
      <c r="B256" s="77"/>
      <c r="C256" s="77"/>
      <c r="D256" s="77"/>
      <c r="E256" s="147"/>
      <c r="F256" s="77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7"/>
      <c r="B257" s="77"/>
      <c r="C257" s="77"/>
      <c r="D257" s="77"/>
      <c r="E257" s="147"/>
      <c r="F257" s="77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7"/>
      <c r="B258" s="77"/>
      <c r="C258" s="77"/>
      <c r="D258" s="77"/>
      <c r="E258" s="147"/>
      <c r="F258" s="77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7"/>
      <c r="B259" s="77"/>
      <c r="C259" s="77"/>
      <c r="D259" s="77"/>
      <c r="E259" s="147"/>
      <c r="F259" s="77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7"/>
      <c r="B260" s="77"/>
      <c r="C260" s="77"/>
      <c r="D260" s="77"/>
      <c r="E260" s="147"/>
      <c r="F260" s="77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7"/>
      <c r="B261" s="77"/>
      <c r="C261" s="77"/>
      <c r="D261" s="77"/>
      <c r="E261" s="147"/>
      <c r="F261" s="77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7"/>
      <c r="B262" s="77"/>
      <c r="C262" s="77"/>
      <c r="D262" s="77"/>
      <c r="E262" s="147"/>
      <c r="F262" s="77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7"/>
      <c r="B263" s="77"/>
      <c r="C263" s="77"/>
      <c r="D263" s="77"/>
      <c r="E263" s="147"/>
      <c r="F263" s="77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7"/>
      <c r="B264" s="77"/>
      <c r="C264" s="77"/>
      <c r="D264" s="77"/>
      <c r="E264" s="147"/>
      <c r="F264" s="77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7"/>
      <c r="B265" s="77"/>
      <c r="C265" s="77"/>
      <c r="D265" s="77"/>
      <c r="E265" s="147"/>
      <c r="F265" s="77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</sheetData>
  <mergeCells count="15">
    <mergeCell ref="A49:Z49"/>
    <mergeCell ref="B50:D50"/>
    <mergeCell ref="A64:Z64"/>
    <mergeCell ref="A66:G66"/>
    <mergeCell ref="A67:G67"/>
    <mergeCell ref="A68:G68"/>
    <mergeCell ref="A69:G69"/>
    <mergeCell ref="A70:G70"/>
    <mergeCell ref="A1:E1"/>
    <mergeCell ref="A2:D2"/>
    <mergeCell ref="B5:D5"/>
    <mergeCell ref="A23:Z23"/>
    <mergeCell ref="A24:Z24"/>
    <mergeCell ref="B25:D25"/>
    <mergeCell ref="A48:Z48"/>
  </mergeCells>
  <hyperlinks>
    <hyperlink r:id="rId1" ref="B7"/>
    <hyperlink r:id="rId2" ref="B8"/>
    <hyperlink r:id="rId3" ref="B10"/>
    <hyperlink display="Barbell Back Squat TEST" location="TESTS!A1" ref="B14"/>
    <hyperlink r:id="rId4" ref="B15"/>
    <hyperlink r:id="rId5" ref="B16"/>
    <hyperlink r:id="rId6" ref="B17"/>
    <hyperlink r:id="rId7" ref="B18"/>
    <hyperlink r:id="rId8" ref="B19"/>
    <hyperlink r:id="rId9" ref="B27"/>
    <hyperlink r:id="rId10" ref="B28"/>
    <hyperlink r:id="rId11" ref="B29"/>
    <hyperlink r:id="rId12" ref="B30"/>
    <hyperlink r:id="rId13" ref="B34"/>
    <hyperlink r:id="rId14" ref="B35"/>
    <hyperlink r:id="rId15" ref="B36"/>
    <hyperlink r:id="rId16" ref="B37"/>
    <hyperlink r:id="rId17" ref="B40"/>
    <hyperlink r:id="rId18" ref="B41"/>
    <hyperlink r:id="rId19" ref="B42"/>
    <hyperlink r:id="rId20" ref="B43"/>
    <hyperlink r:id="rId21" ref="B51"/>
    <hyperlink r:id="rId22" ref="B52"/>
    <hyperlink display="Hip Thrust TEST" location="TESTS!A1" ref="B56"/>
    <hyperlink r:id="rId23" ref="B57"/>
    <hyperlink r:id="rId24" ref="B58"/>
    <hyperlink r:id="rId25" ref="B59"/>
    <hyperlink r:id="rId26" ref="B60"/>
  </hyperlinks>
  <drawing r:id="rId2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0.38"/>
    <col customWidth="1" min="3" max="3" width="14.63"/>
    <col customWidth="1" min="4" max="4" width="17.0"/>
    <col customWidth="1" min="5" max="5" width="15.25"/>
    <col customWidth="1" min="6" max="6" width="45.0"/>
    <col customWidth="1" min="7" max="7" width="26.13"/>
  </cols>
  <sheetData>
    <row r="1">
      <c r="A1" s="1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2</v>
      </c>
      <c r="E2" s="10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/>
      <c r="B3" s="7"/>
      <c r="C3" s="7"/>
      <c r="D3" s="7"/>
      <c r="E3" s="13" t="s">
        <v>14</v>
      </c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15" t="s">
        <v>10</v>
      </c>
      <c r="C4" s="15" t="s">
        <v>12</v>
      </c>
      <c r="D4" s="17" t="s">
        <v>13</v>
      </c>
      <c r="E4" s="19" t="s">
        <v>11</v>
      </c>
      <c r="F4" s="21" t="s">
        <v>15</v>
      </c>
      <c r="G4" s="19" t="s">
        <v>16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3" t="s">
        <v>21</v>
      </c>
      <c r="B5" s="7"/>
      <c r="E5" s="25"/>
      <c r="F5" s="2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24</v>
      </c>
      <c r="B6" s="28" t="s">
        <v>26</v>
      </c>
      <c r="C6" s="28" t="s">
        <v>27</v>
      </c>
      <c r="D6" s="30"/>
      <c r="E6" s="31"/>
      <c r="F6" s="2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2"/>
      <c r="B7" s="38" t="s">
        <v>29</v>
      </c>
      <c r="C7" s="39">
        <v>12.0</v>
      </c>
      <c r="D7" s="30"/>
      <c r="E7" s="31"/>
      <c r="F7" s="2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2"/>
      <c r="B8" s="38" t="s">
        <v>40</v>
      </c>
      <c r="C8" s="28" t="s">
        <v>43</v>
      </c>
      <c r="D8" s="30"/>
      <c r="E8" s="31"/>
      <c r="F8" s="2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2"/>
      <c r="B9" s="28" t="s">
        <v>44</v>
      </c>
      <c r="C9" s="28" t="s">
        <v>45</v>
      </c>
      <c r="D9" s="30"/>
      <c r="E9" s="31"/>
      <c r="F9" s="2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2"/>
      <c r="B10" s="38" t="s">
        <v>46</v>
      </c>
      <c r="C10" s="28" t="s">
        <v>49</v>
      </c>
      <c r="D10" s="30"/>
      <c r="E10" s="31"/>
      <c r="F10" s="4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2"/>
      <c r="B11" s="30"/>
      <c r="C11" s="30"/>
      <c r="D11" s="30"/>
      <c r="E11" s="31"/>
      <c r="F11" s="5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2"/>
      <c r="B12" s="30"/>
      <c r="C12" s="30"/>
      <c r="D12" s="30"/>
      <c r="E12" s="31"/>
      <c r="F12" s="5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2"/>
      <c r="B13" s="30"/>
      <c r="C13" s="30"/>
      <c r="D13" s="37" t="s">
        <v>33</v>
      </c>
      <c r="E13" s="31"/>
      <c r="F13" s="4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52</v>
      </c>
      <c r="B14" s="53" t="s">
        <v>55</v>
      </c>
      <c r="C14" s="55"/>
      <c r="D14" s="45" t="s">
        <v>61</v>
      </c>
      <c r="E14" s="57"/>
      <c r="F14" s="4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1"/>
      <c r="B15" s="63" t="s">
        <v>68</v>
      </c>
      <c r="C15" s="65" t="s">
        <v>66</v>
      </c>
      <c r="D15" s="51" t="s">
        <v>67</v>
      </c>
      <c r="E15" s="57" t="s">
        <v>182</v>
      </c>
      <c r="F15" s="4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1"/>
      <c r="B16" s="63" t="s">
        <v>78</v>
      </c>
      <c r="C16" s="65" t="s">
        <v>82</v>
      </c>
      <c r="D16" s="51" t="s">
        <v>67</v>
      </c>
      <c r="E16" s="76" t="s">
        <v>152</v>
      </c>
      <c r="F16" s="49" t="s">
        <v>85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/>
      <c r="B17" s="63" t="s">
        <v>87</v>
      </c>
      <c r="C17" s="65" t="s">
        <v>91</v>
      </c>
      <c r="D17" s="51" t="s">
        <v>67</v>
      </c>
      <c r="E17" s="76" t="s">
        <v>186</v>
      </c>
      <c r="F17" s="49" t="s">
        <v>187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63" t="s">
        <v>97</v>
      </c>
      <c r="C18" s="65" t="s">
        <v>104</v>
      </c>
      <c r="D18" s="51" t="s">
        <v>67</v>
      </c>
      <c r="E18" s="76" t="s">
        <v>188</v>
      </c>
      <c r="F18" s="49" t="s">
        <v>105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8" t="s">
        <v>107</v>
      </c>
      <c r="B19" s="89" t="s">
        <v>108</v>
      </c>
      <c r="C19" s="90" t="s">
        <v>112</v>
      </c>
      <c r="D19" s="59" t="s">
        <v>113</v>
      </c>
      <c r="E19" s="76" t="s">
        <v>189</v>
      </c>
      <c r="F19" s="49" t="s">
        <v>114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91"/>
      <c r="C20" s="91"/>
      <c r="D20" s="91"/>
      <c r="E20" s="25"/>
      <c r="F20" s="5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8" t="s">
        <v>115</v>
      </c>
      <c r="B21" s="92" t="s">
        <v>116</v>
      </c>
      <c r="C21" s="93" t="s">
        <v>118</v>
      </c>
      <c r="D21" s="92" t="s">
        <v>113</v>
      </c>
      <c r="E21" s="94" t="s">
        <v>190</v>
      </c>
      <c r="F21" s="95" t="s">
        <v>121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/>
      <c r="B22" s="7"/>
      <c r="C22" s="7"/>
      <c r="D22" s="7"/>
      <c r="E22" s="25"/>
      <c r="F22" s="2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7"/>
    </row>
    <row r="25">
      <c r="A25" s="23" t="s">
        <v>122</v>
      </c>
      <c r="B25" s="98"/>
      <c r="E25" s="25"/>
      <c r="F25" s="2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 t="s">
        <v>24</v>
      </c>
      <c r="B26" s="99" t="s">
        <v>123</v>
      </c>
      <c r="C26" s="100" t="s">
        <v>124</v>
      </c>
      <c r="D26" s="100"/>
      <c r="E26" s="101"/>
      <c r="F26" s="2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1"/>
      <c r="B27" s="38" t="s">
        <v>125</v>
      </c>
      <c r="C27" s="39" t="s">
        <v>126</v>
      </c>
      <c r="D27" s="100"/>
      <c r="E27" s="101"/>
      <c r="F27" s="2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1"/>
      <c r="B28" s="38" t="s">
        <v>127</v>
      </c>
      <c r="C28" s="39" t="s">
        <v>45</v>
      </c>
      <c r="D28" s="100"/>
      <c r="E28" s="101"/>
      <c r="F28" s="2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1"/>
      <c r="B29" s="102" t="s">
        <v>128</v>
      </c>
      <c r="C29" s="100" t="s">
        <v>129</v>
      </c>
      <c r="D29" s="100"/>
      <c r="E29" s="101"/>
      <c r="F29" s="103" t="s">
        <v>130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1"/>
      <c r="B30" s="102" t="s">
        <v>131</v>
      </c>
      <c r="C30" s="104">
        <v>10.0</v>
      </c>
      <c r="D30" s="100"/>
      <c r="E30" s="101"/>
      <c r="F30" s="2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1"/>
      <c r="B31" s="105"/>
      <c r="C31" s="91"/>
      <c r="D31" s="91"/>
      <c r="E31" s="101"/>
      <c r="F31" s="2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1"/>
      <c r="B32" s="91"/>
      <c r="C32" s="91"/>
      <c r="D32" s="91"/>
      <c r="E32" s="101"/>
      <c r="F32" s="2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1"/>
      <c r="B33" s="91"/>
      <c r="C33" s="91"/>
      <c r="D33" s="91"/>
      <c r="E33" s="101"/>
      <c r="F33" s="2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 t="s">
        <v>132</v>
      </c>
      <c r="B34" s="106" t="s">
        <v>133</v>
      </c>
      <c r="C34" s="43" t="s">
        <v>66</v>
      </c>
      <c r="D34" s="45" t="s">
        <v>134</v>
      </c>
      <c r="E34" s="107"/>
      <c r="F34" s="103" t="s">
        <v>191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1"/>
      <c r="B35" s="63" t="s">
        <v>136</v>
      </c>
      <c r="C35" s="28" t="s">
        <v>66</v>
      </c>
      <c r="D35" s="51" t="s">
        <v>67</v>
      </c>
      <c r="E35" s="107" t="s">
        <v>143</v>
      </c>
      <c r="F35" s="103" t="s">
        <v>192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63" t="s">
        <v>139</v>
      </c>
      <c r="C36" s="28" t="s">
        <v>66</v>
      </c>
      <c r="D36" s="51" t="s">
        <v>67</v>
      </c>
      <c r="E36" s="107" t="s">
        <v>148</v>
      </c>
      <c r="F36" s="103" t="s">
        <v>141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89" t="s">
        <v>142</v>
      </c>
      <c r="C37" s="108" t="s">
        <v>145</v>
      </c>
      <c r="D37" s="59" t="s">
        <v>67</v>
      </c>
      <c r="E37" s="107" t="s">
        <v>152</v>
      </c>
      <c r="F37" s="10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5"/>
      <c r="B38" s="105"/>
      <c r="C38" s="105"/>
      <c r="D38" s="91"/>
      <c r="E38" s="107"/>
      <c r="F38" s="10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5"/>
      <c r="B39" s="105"/>
      <c r="C39" s="105"/>
      <c r="D39" s="91"/>
      <c r="E39" s="107"/>
      <c r="F39" s="10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3" t="s">
        <v>146</v>
      </c>
      <c r="B40" s="102" t="s">
        <v>147</v>
      </c>
      <c r="C40" s="100" t="s">
        <v>149</v>
      </c>
      <c r="D40" s="109" t="s">
        <v>150</v>
      </c>
      <c r="E40" s="107"/>
      <c r="F40" s="10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1"/>
      <c r="B41" s="102" t="s">
        <v>151</v>
      </c>
      <c r="C41" s="104">
        <v>10.0</v>
      </c>
      <c r="D41" s="109" t="s">
        <v>150</v>
      </c>
      <c r="E41" s="101"/>
      <c r="F41" s="103" t="s">
        <v>153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1"/>
      <c r="B42" s="102" t="s">
        <v>154</v>
      </c>
      <c r="C42" s="104">
        <v>10.0</v>
      </c>
      <c r="D42" s="109" t="s">
        <v>150</v>
      </c>
      <c r="E42" s="101"/>
      <c r="F42" s="110" t="s">
        <v>155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1"/>
      <c r="B43" s="102" t="s">
        <v>156</v>
      </c>
      <c r="C43" s="100" t="s">
        <v>157</v>
      </c>
      <c r="D43" s="109" t="s">
        <v>150</v>
      </c>
      <c r="E43" s="101"/>
      <c r="F43" s="2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1"/>
      <c r="B44" s="91"/>
      <c r="C44" s="91"/>
      <c r="D44" s="91"/>
      <c r="E44" s="101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1"/>
      <c r="B45" s="91"/>
      <c r="C45" s="91"/>
      <c r="D45" s="91"/>
      <c r="E45" s="101"/>
      <c r="F45" s="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1" t="s">
        <v>158</v>
      </c>
      <c r="B46" s="111" t="s">
        <v>159</v>
      </c>
      <c r="C46" s="111" t="s">
        <v>160</v>
      </c>
      <c r="D46" s="112" t="s">
        <v>113</v>
      </c>
      <c r="E46" s="101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1"/>
      <c r="B47" s="91"/>
      <c r="C47" s="91"/>
      <c r="D47" s="91"/>
      <c r="E47" s="101"/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113"/>
    </row>
    <row r="49">
      <c r="A49" s="114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6" t="s">
        <v>161</v>
      </c>
      <c r="B50" s="117"/>
      <c r="E50" s="118"/>
      <c r="F50" s="119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>
      <c r="A51" s="121" t="s">
        <v>24</v>
      </c>
      <c r="B51" s="38" t="s">
        <v>29</v>
      </c>
      <c r="C51" s="39">
        <v>12.0</v>
      </c>
      <c r="D51" s="122"/>
      <c r="E51" s="123"/>
      <c r="F51" s="119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>
      <c r="A52" s="113"/>
      <c r="B52" s="38" t="s">
        <v>40</v>
      </c>
      <c r="C52" s="28" t="s">
        <v>43</v>
      </c>
      <c r="D52" s="122"/>
      <c r="E52" s="118"/>
      <c r="F52" s="119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>
      <c r="A53" s="113"/>
      <c r="B53" s="124" t="s">
        <v>44</v>
      </c>
      <c r="C53" s="124" t="s">
        <v>126</v>
      </c>
      <c r="D53" s="122"/>
      <c r="E53" s="118"/>
      <c r="F53" s="119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>
      <c r="A54" s="113"/>
      <c r="B54" s="125"/>
      <c r="C54" s="125"/>
      <c r="D54" s="125"/>
      <c r="E54" s="118"/>
      <c r="F54" s="119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>
      <c r="A55" s="126"/>
      <c r="B55" s="127"/>
      <c r="C55" s="127"/>
      <c r="D55" s="127"/>
      <c r="E55" s="118"/>
      <c r="F55" s="119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>
      <c r="A56" s="121" t="s">
        <v>162</v>
      </c>
      <c r="B56" s="128" t="s">
        <v>163</v>
      </c>
      <c r="C56" s="129"/>
      <c r="D56" s="130" t="s">
        <v>42</v>
      </c>
      <c r="E56" s="118"/>
      <c r="F56" s="131" t="s">
        <v>164</v>
      </c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>
      <c r="A57" s="132"/>
      <c r="B57" s="128" t="s">
        <v>165</v>
      </c>
      <c r="C57" s="129" t="s">
        <v>166</v>
      </c>
      <c r="D57" s="130" t="s">
        <v>42</v>
      </c>
      <c r="E57" s="94" t="s">
        <v>169</v>
      </c>
      <c r="F57" s="133" t="s">
        <v>167</v>
      </c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>
      <c r="A58" s="126"/>
      <c r="B58" s="128" t="s">
        <v>168</v>
      </c>
      <c r="C58" s="129" t="s">
        <v>82</v>
      </c>
      <c r="D58" s="130" t="s">
        <v>170</v>
      </c>
      <c r="E58" s="94" t="s">
        <v>172</v>
      </c>
      <c r="F58" s="135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>
      <c r="A59" s="126"/>
      <c r="B59" s="128" t="s">
        <v>171</v>
      </c>
      <c r="C59" s="129" t="s">
        <v>173</v>
      </c>
      <c r="D59" s="130" t="s">
        <v>42</v>
      </c>
      <c r="E59" s="94" t="s">
        <v>176</v>
      </c>
      <c r="F59" s="133" t="s">
        <v>174</v>
      </c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>
      <c r="A60" s="126"/>
      <c r="B60" s="128" t="s">
        <v>175</v>
      </c>
      <c r="C60" s="129" t="s">
        <v>82</v>
      </c>
      <c r="D60" s="130" t="s">
        <v>42</v>
      </c>
      <c r="E60" s="94" t="s">
        <v>179</v>
      </c>
      <c r="F60" s="135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>
      <c r="A61" s="126"/>
      <c r="B61" s="136"/>
      <c r="C61" s="136"/>
      <c r="D61" s="136"/>
      <c r="E61" s="137"/>
      <c r="F61" s="135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>
      <c r="A62" s="11" t="s">
        <v>177</v>
      </c>
      <c r="B62" s="111" t="s">
        <v>159</v>
      </c>
      <c r="C62" s="111" t="s">
        <v>178</v>
      </c>
      <c r="D62" s="138" t="s">
        <v>113</v>
      </c>
      <c r="E62" s="139"/>
      <c r="F62" s="136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16.5" customHeight="1">
      <c r="A63" s="141"/>
      <c r="B63" s="141"/>
      <c r="C63" s="141"/>
      <c r="D63" s="141"/>
      <c r="E63" s="142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ht="16.5" customHeight="1">
      <c r="A64" s="141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4" t="s">
        <v>180</v>
      </c>
      <c r="B66" s="4"/>
      <c r="C66" s="4"/>
      <c r="D66" s="4"/>
      <c r="E66" s="4"/>
      <c r="F66" s="4"/>
      <c r="G66" s="6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>
      <c r="A67" s="145" t="s">
        <v>181</v>
      </c>
      <c r="B67" s="4"/>
      <c r="C67" s="4"/>
      <c r="D67" s="4"/>
      <c r="E67" s="4"/>
      <c r="F67" s="4"/>
      <c r="G67" s="6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146" t="s">
        <v>183</v>
      </c>
      <c r="B68" s="4"/>
      <c r="C68" s="4"/>
      <c r="D68" s="4"/>
      <c r="E68" s="4"/>
      <c r="F68" s="4"/>
      <c r="G68" s="6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145" t="s">
        <v>184</v>
      </c>
      <c r="B69" s="4"/>
      <c r="C69" s="4"/>
      <c r="D69" s="4"/>
      <c r="E69" s="4"/>
      <c r="F69" s="4"/>
      <c r="G69" s="6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146" t="s">
        <v>185</v>
      </c>
      <c r="B70" s="4"/>
      <c r="C70" s="4"/>
      <c r="D70" s="4"/>
      <c r="E70" s="4"/>
      <c r="F70" s="4"/>
      <c r="G70" s="6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7"/>
      <c r="B71" s="77"/>
      <c r="C71" s="77"/>
      <c r="D71" s="77"/>
      <c r="E71" s="147"/>
      <c r="F71" s="77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7"/>
      <c r="B72" s="77"/>
      <c r="C72" s="77"/>
      <c r="D72" s="77"/>
      <c r="E72" s="147"/>
      <c r="F72" s="77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7"/>
      <c r="B73" s="77"/>
      <c r="C73" s="77"/>
      <c r="D73" s="77"/>
      <c r="E73" s="147"/>
      <c r="F73" s="77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7"/>
      <c r="B74" s="77"/>
      <c r="C74" s="77"/>
      <c r="D74" s="77"/>
      <c r="E74" s="147"/>
      <c r="F74" s="77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7"/>
      <c r="B75" s="77"/>
      <c r="C75" s="77"/>
      <c r="D75" s="77"/>
      <c r="E75" s="147"/>
      <c r="F75" s="77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7"/>
      <c r="B76" s="77"/>
      <c r="C76" s="77"/>
      <c r="D76" s="77"/>
      <c r="E76" s="147"/>
      <c r="F76" s="77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7"/>
      <c r="B77" s="77"/>
      <c r="C77" s="77"/>
      <c r="D77" s="77"/>
      <c r="E77" s="147"/>
      <c r="F77" s="77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7"/>
      <c r="B78" s="77"/>
      <c r="C78" s="77"/>
      <c r="D78" s="77"/>
      <c r="E78" s="147"/>
      <c r="F78" s="77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7"/>
      <c r="B79" s="77"/>
      <c r="C79" s="77"/>
      <c r="D79" s="77"/>
      <c r="E79" s="147"/>
      <c r="F79" s="77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7"/>
      <c r="B80" s="77"/>
      <c r="C80" s="77"/>
      <c r="D80" s="77"/>
      <c r="E80" s="147"/>
      <c r="F80" s="77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7"/>
      <c r="B81" s="77"/>
      <c r="C81" s="77"/>
      <c r="D81" s="77"/>
      <c r="E81" s="147"/>
      <c r="F81" s="77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7"/>
      <c r="B82" s="77"/>
      <c r="C82" s="77"/>
      <c r="D82" s="77"/>
      <c r="E82" s="147"/>
      <c r="F82" s="77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7"/>
      <c r="B83" s="77"/>
      <c r="C83" s="77"/>
      <c r="D83" s="77"/>
      <c r="E83" s="147"/>
      <c r="F83" s="77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7"/>
      <c r="B84" s="77"/>
      <c r="C84" s="77"/>
      <c r="D84" s="77"/>
      <c r="E84" s="147"/>
      <c r="F84" s="77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7"/>
      <c r="B85" s="77"/>
      <c r="C85" s="77"/>
      <c r="D85" s="77"/>
      <c r="E85" s="147"/>
      <c r="F85" s="77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7"/>
      <c r="B86" s="77"/>
      <c r="C86" s="77"/>
      <c r="D86" s="77"/>
      <c r="E86" s="147"/>
      <c r="F86" s="77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7"/>
      <c r="B87" s="77"/>
      <c r="C87" s="77"/>
      <c r="D87" s="77"/>
      <c r="E87" s="147"/>
      <c r="F87" s="77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7"/>
      <c r="B88" s="77"/>
      <c r="C88" s="77"/>
      <c r="D88" s="77"/>
      <c r="E88" s="147"/>
      <c r="F88" s="77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7"/>
      <c r="B89" s="77"/>
      <c r="C89" s="77"/>
      <c r="D89" s="77"/>
      <c r="E89" s="147"/>
      <c r="F89" s="77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7"/>
      <c r="B90" s="77"/>
      <c r="C90" s="77"/>
      <c r="D90" s="77"/>
      <c r="E90" s="147"/>
      <c r="F90" s="77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7"/>
      <c r="B91" s="77"/>
      <c r="C91" s="77"/>
      <c r="D91" s="77"/>
      <c r="E91" s="147"/>
      <c r="F91" s="77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7"/>
      <c r="B92" s="77"/>
      <c r="C92" s="77"/>
      <c r="D92" s="77"/>
      <c r="E92" s="147"/>
      <c r="F92" s="77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7"/>
      <c r="B93" s="77"/>
      <c r="C93" s="77"/>
      <c r="D93" s="77"/>
      <c r="E93" s="147"/>
      <c r="F93" s="77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7"/>
      <c r="B94" s="77"/>
      <c r="C94" s="77"/>
      <c r="D94" s="77"/>
      <c r="E94" s="147"/>
      <c r="F94" s="77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7"/>
      <c r="B95" s="77"/>
      <c r="C95" s="77"/>
      <c r="D95" s="77"/>
      <c r="E95" s="147"/>
      <c r="F95" s="77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7"/>
      <c r="B96" s="77"/>
      <c r="C96" s="77"/>
      <c r="D96" s="77"/>
      <c r="E96" s="147"/>
      <c r="F96" s="77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7"/>
      <c r="B97" s="77"/>
      <c r="C97" s="77"/>
      <c r="D97" s="77"/>
      <c r="E97" s="147"/>
      <c r="F97" s="77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7"/>
      <c r="B98" s="77"/>
      <c r="C98" s="77"/>
      <c r="D98" s="77"/>
      <c r="E98" s="147"/>
      <c r="F98" s="77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7"/>
      <c r="B99" s="77"/>
      <c r="C99" s="77"/>
      <c r="D99" s="77"/>
      <c r="E99" s="147"/>
      <c r="F99" s="77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7"/>
      <c r="B100" s="77"/>
      <c r="C100" s="77"/>
      <c r="D100" s="77"/>
      <c r="E100" s="147"/>
      <c r="F100" s="77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7"/>
      <c r="B101" s="77"/>
      <c r="C101" s="77"/>
      <c r="D101" s="77"/>
      <c r="E101" s="147"/>
      <c r="F101" s="77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7"/>
      <c r="B102" s="77"/>
      <c r="C102" s="77"/>
      <c r="D102" s="77"/>
      <c r="E102" s="147"/>
      <c r="F102" s="77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7"/>
      <c r="B103" s="77"/>
      <c r="C103" s="77"/>
      <c r="D103" s="77"/>
      <c r="E103" s="147"/>
      <c r="F103" s="77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7"/>
      <c r="B104" s="77"/>
      <c r="C104" s="77"/>
      <c r="D104" s="77"/>
      <c r="E104" s="147"/>
      <c r="F104" s="77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7"/>
      <c r="B105" s="77"/>
      <c r="C105" s="77"/>
      <c r="D105" s="77"/>
      <c r="E105" s="147"/>
      <c r="F105" s="77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7"/>
      <c r="B106" s="77"/>
      <c r="C106" s="77"/>
      <c r="D106" s="77"/>
      <c r="E106" s="147"/>
      <c r="F106" s="77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7"/>
      <c r="B107" s="77"/>
      <c r="C107" s="77"/>
      <c r="D107" s="77"/>
      <c r="E107" s="147"/>
      <c r="F107" s="77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7"/>
      <c r="B108" s="77"/>
      <c r="C108" s="77"/>
      <c r="D108" s="77"/>
      <c r="E108" s="147"/>
      <c r="F108" s="77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7"/>
      <c r="B109" s="77"/>
      <c r="C109" s="77"/>
      <c r="D109" s="77"/>
      <c r="E109" s="147"/>
      <c r="F109" s="77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7"/>
      <c r="B110" s="77"/>
      <c r="C110" s="77"/>
      <c r="D110" s="77"/>
      <c r="E110" s="147"/>
      <c r="F110" s="77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7"/>
      <c r="B111" s="77"/>
      <c r="C111" s="77"/>
      <c r="D111" s="77"/>
      <c r="E111" s="147"/>
      <c r="F111" s="77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7"/>
      <c r="B112" s="77"/>
      <c r="C112" s="77"/>
      <c r="D112" s="77"/>
      <c r="E112" s="147"/>
      <c r="F112" s="77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7"/>
      <c r="B113" s="77"/>
      <c r="C113" s="77"/>
      <c r="D113" s="77"/>
      <c r="E113" s="147"/>
      <c r="F113" s="77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7"/>
      <c r="B114" s="77"/>
      <c r="C114" s="77"/>
      <c r="D114" s="77"/>
      <c r="E114" s="147"/>
      <c r="F114" s="77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7"/>
      <c r="B115" s="77"/>
      <c r="C115" s="77"/>
      <c r="D115" s="77"/>
      <c r="E115" s="147"/>
      <c r="F115" s="77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7"/>
      <c r="B116" s="77"/>
      <c r="C116" s="77"/>
      <c r="D116" s="77"/>
      <c r="E116" s="147"/>
      <c r="F116" s="77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7"/>
      <c r="B117" s="77"/>
      <c r="C117" s="77"/>
      <c r="D117" s="77"/>
      <c r="E117" s="147"/>
      <c r="F117" s="77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7"/>
      <c r="B118" s="77"/>
      <c r="C118" s="77"/>
      <c r="D118" s="77"/>
      <c r="E118" s="147"/>
      <c r="F118" s="77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7"/>
      <c r="B119" s="77"/>
      <c r="C119" s="77"/>
      <c r="D119" s="77"/>
      <c r="E119" s="147"/>
      <c r="F119" s="77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7"/>
      <c r="B120" s="77"/>
      <c r="C120" s="77"/>
      <c r="D120" s="77"/>
      <c r="E120" s="147"/>
      <c r="F120" s="77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7"/>
      <c r="B121" s="77"/>
      <c r="C121" s="77"/>
      <c r="D121" s="77"/>
      <c r="E121" s="147"/>
      <c r="F121" s="77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7"/>
      <c r="B122" s="77"/>
      <c r="C122" s="77"/>
      <c r="D122" s="77"/>
      <c r="E122" s="147"/>
      <c r="F122" s="77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7"/>
      <c r="B123" s="77"/>
      <c r="C123" s="77"/>
      <c r="D123" s="77"/>
      <c r="E123" s="147"/>
      <c r="F123" s="77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7"/>
      <c r="B124" s="77"/>
      <c r="C124" s="77"/>
      <c r="D124" s="77"/>
      <c r="E124" s="147"/>
      <c r="F124" s="77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7"/>
      <c r="B125" s="77"/>
      <c r="C125" s="77"/>
      <c r="D125" s="77"/>
      <c r="E125" s="147"/>
      <c r="F125" s="77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7"/>
      <c r="B126" s="77"/>
      <c r="C126" s="77"/>
      <c r="D126" s="77"/>
      <c r="E126" s="147"/>
      <c r="F126" s="77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7"/>
      <c r="B127" s="77"/>
      <c r="C127" s="77"/>
      <c r="D127" s="77"/>
      <c r="E127" s="147"/>
      <c r="F127" s="77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7"/>
      <c r="B128" s="77"/>
      <c r="C128" s="77"/>
      <c r="D128" s="77"/>
      <c r="E128" s="147"/>
      <c r="F128" s="77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7"/>
      <c r="B129" s="77"/>
      <c r="C129" s="77"/>
      <c r="D129" s="77"/>
      <c r="E129" s="147"/>
      <c r="F129" s="77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7"/>
      <c r="B130" s="77"/>
      <c r="C130" s="77"/>
      <c r="D130" s="77"/>
      <c r="E130" s="147"/>
      <c r="F130" s="77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7"/>
      <c r="B131" s="77"/>
      <c r="C131" s="77"/>
      <c r="D131" s="77"/>
      <c r="E131" s="147"/>
      <c r="F131" s="77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7"/>
      <c r="B132" s="77"/>
      <c r="C132" s="77"/>
      <c r="D132" s="77"/>
      <c r="E132" s="147"/>
      <c r="F132" s="77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7"/>
      <c r="B133" s="77"/>
      <c r="C133" s="77"/>
      <c r="D133" s="77"/>
      <c r="E133" s="147"/>
      <c r="F133" s="77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7"/>
      <c r="B134" s="77"/>
      <c r="C134" s="77"/>
      <c r="D134" s="77"/>
      <c r="E134" s="147"/>
      <c r="F134" s="77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7"/>
      <c r="B135" s="77"/>
      <c r="C135" s="77"/>
      <c r="D135" s="77"/>
      <c r="E135" s="147"/>
      <c r="F135" s="77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7"/>
      <c r="B136" s="77"/>
      <c r="C136" s="77"/>
      <c r="D136" s="77"/>
      <c r="E136" s="147"/>
      <c r="F136" s="77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7"/>
      <c r="B137" s="77"/>
      <c r="C137" s="77"/>
      <c r="D137" s="77"/>
      <c r="E137" s="147"/>
      <c r="F137" s="77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7"/>
      <c r="B138" s="77"/>
      <c r="C138" s="77"/>
      <c r="D138" s="77"/>
      <c r="E138" s="147"/>
      <c r="F138" s="77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7"/>
      <c r="B139" s="77"/>
      <c r="C139" s="77"/>
      <c r="D139" s="77"/>
      <c r="E139" s="147"/>
      <c r="F139" s="77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7"/>
      <c r="B140" s="77"/>
      <c r="C140" s="77"/>
      <c r="D140" s="77"/>
      <c r="E140" s="147"/>
      <c r="F140" s="77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7"/>
      <c r="B141" s="77"/>
      <c r="C141" s="77"/>
      <c r="D141" s="77"/>
      <c r="E141" s="147"/>
      <c r="F141" s="77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7"/>
      <c r="B142" s="77"/>
      <c r="C142" s="77"/>
      <c r="D142" s="77"/>
      <c r="E142" s="147"/>
      <c r="F142" s="77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7"/>
      <c r="B143" s="77"/>
      <c r="C143" s="77"/>
      <c r="D143" s="77"/>
      <c r="E143" s="147"/>
      <c r="F143" s="77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7"/>
      <c r="B144" s="77"/>
      <c r="C144" s="77"/>
      <c r="D144" s="77"/>
      <c r="E144" s="147"/>
      <c r="F144" s="77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7"/>
      <c r="B145" s="77"/>
      <c r="C145" s="77"/>
      <c r="D145" s="77"/>
      <c r="E145" s="147"/>
      <c r="F145" s="77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7"/>
      <c r="B146" s="77"/>
      <c r="C146" s="77"/>
      <c r="D146" s="77"/>
      <c r="E146" s="147"/>
      <c r="F146" s="77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7"/>
      <c r="B147" s="77"/>
      <c r="C147" s="77"/>
      <c r="D147" s="77"/>
      <c r="E147" s="147"/>
      <c r="F147" s="77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7"/>
      <c r="B148" s="77"/>
      <c r="C148" s="77"/>
      <c r="D148" s="77"/>
      <c r="E148" s="147"/>
      <c r="F148" s="77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7"/>
      <c r="B149" s="77"/>
      <c r="C149" s="77"/>
      <c r="D149" s="77"/>
      <c r="E149" s="147"/>
      <c r="F149" s="77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7"/>
      <c r="B150" s="77"/>
      <c r="C150" s="77"/>
      <c r="D150" s="77"/>
      <c r="E150" s="147"/>
      <c r="F150" s="77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7"/>
      <c r="B151" s="77"/>
      <c r="C151" s="77"/>
      <c r="D151" s="77"/>
      <c r="E151" s="147"/>
      <c r="F151" s="77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7"/>
      <c r="B152" s="77"/>
      <c r="C152" s="77"/>
      <c r="D152" s="77"/>
      <c r="E152" s="147"/>
      <c r="F152" s="77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7"/>
      <c r="B153" s="77"/>
      <c r="C153" s="77"/>
      <c r="D153" s="77"/>
      <c r="E153" s="147"/>
      <c r="F153" s="77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7"/>
      <c r="B154" s="77"/>
      <c r="C154" s="77"/>
      <c r="D154" s="77"/>
      <c r="E154" s="147"/>
      <c r="F154" s="77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7"/>
      <c r="B155" s="77"/>
      <c r="C155" s="77"/>
      <c r="D155" s="77"/>
      <c r="E155" s="147"/>
      <c r="F155" s="77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7"/>
      <c r="B156" s="77"/>
      <c r="C156" s="77"/>
      <c r="D156" s="77"/>
      <c r="E156" s="147"/>
      <c r="F156" s="77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7"/>
      <c r="B157" s="77"/>
      <c r="C157" s="77"/>
      <c r="D157" s="77"/>
      <c r="E157" s="147"/>
      <c r="F157" s="77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7"/>
      <c r="B158" s="77"/>
      <c r="C158" s="77"/>
      <c r="D158" s="77"/>
      <c r="E158" s="147"/>
      <c r="F158" s="77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7"/>
      <c r="B159" s="77"/>
      <c r="C159" s="77"/>
      <c r="D159" s="77"/>
      <c r="E159" s="147"/>
      <c r="F159" s="77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7"/>
      <c r="B160" s="77"/>
      <c r="C160" s="77"/>
      <c r="D160" s="77"/>
      <c r="E160" s="147"/>
      <c r="F160" s="77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7"/>
      <c r="B161" s="77"/>
      <c r="C161" s="77"/>
      <c r="D161" s="77"/>
      <c r="E161" s="147"/>
      <c r="F161" s="77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7"/>
      <c r="B162" s="77"/>
      <c r="C162" s="77"/>
      <c r="D162" s="77"/>
      <c r="E162" s="147"/>
      <c r="F162" s="77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7"/>
      <c r="B163" s="77"/>
      <c r="C163" s="77"/>
      <c r="D163" s="77"/>
      <c r="E163" s="147"/>
      <c r="F163" s="77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7"/>
      <c r="B164" s="77"/>
      <c r="C164" s="77"/>
      <c r="D164" s="77"/>
      <c r="E164" s="147"/>
      <c r="F164" s="77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7"/>
      <c r="B165" s="77"/>
      <c r="C165" s="77"/>
      <c r="D165" s="77"/>
      <c r="E165" s="147"/>
      <c r="F165" s="77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7"/>
      <c r="B166" s="77"/>
      <c r="C166" s="77"/>
      <c r="D166" s="77"/>
      <c r="E166" s="147"/>
      <c r="F166" s="77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7"/>
      <c r="B167" s="77"/>
      <c r="C167" s="77"/>
      <c r="D167" s="77"/>
      <c r="E167" s="147"/>
      <c r="F167" s="77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7"/>
      <c r="B168" s="77"/>
      <c r="C168" s="77"/>
      <c r="D168" s="77"/>
      <c r="E168" s="147"/>
      <c r="F168" s="77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7"/>
      <c r="B169" s="77"/>
      <c r="C169" s="77"/>
      <c r="D169" s="77"/>
      <c r="E169" s="147"/>
      <c r="F169" s="77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7"/>
      <c r="B170" s="77"/>
      <c r="C170" s="77"/>
      <c r="D170" s="77"/>
      <c r="E170" s="147"/>
      <c r="F170" s="77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7"/>
      <c r="B171" s="77"/>
      <c r="C171" s="77"/>
      <c r="D171" s="77"/>
      <c r="E171" s="147"/>
      <c r="F171" s="77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7"/>
      <c r="B172" s="77"/>
      <c r="C172" s="77"/>
      <c r="D172" s="77"/>
      <c r="E172" s="147"/>
      <c r="F172" s="77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7"/>
      <c r="B173" s="77"/>
      <c r="C173" s="77"/>
      <c r="D173" s="77"/>
      <c r="E173" s="147"/>
      <c r="F173" s="77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7"/>
      <c r="B174" s="77"/>
      <c r="C174" s="77"/>
      <c r="D174" s="77"/>
      <c r="E174" s="147"/>
      <c r="F174" s="77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7"/>
      <c r="B175" s="77"/>
      <c r="C175" s="77"/>
      <c r="D175" s="77"/>
      <c r="E175" s="147"/>
      <c r="F175" s="77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7"/>
      <c r="B176" s="77"/>
      <c r="C176" s="77"/>
      <c r="D176" s="77"/>
      <c r="E176" s="147"/>
      <c r="F176" s="77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7"/>
      <c r="B177" s="77"/>
      <c r="C177" s="77"/>
      <c r="D177" s="77"/>
      <c r="E177" s="147"/>
      <c r="F177" s="77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7"/>
      <c r="B178" s="77"/>
      <c r="C178" s="77"/>
      <c r="D178" s="77"/>
      <c r="E178" s="147"/>
      <c r="F178" s="77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7"/>
      <c r="B179" s="77"/>
      <c r="C179" s="77"/>
      <c r="D179" s="77"/>
      <c r="E179" s="147"/>
      <c r="F179" s="77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7"/>
      <c r="B180" s="77"/>
      <c r="C180" s="77"/>
      <c r="D180" s="77"/>
      <c r="E180" s="147"/>
      <c r="F180" s="77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7"/>
      <c r="B181" s="77"/>
      <c r="C181" s="77"/>
      <c r="D181" s="77"/>
      <c r="E181" s="147"/>
      <c r="F181" s="77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7"/>
      <c r="B182" s="77"/>
      <c r="C182" s="77"/>
      <c r="D182" s="77"/>
      <c r="E182" s="147"/>
      <c r="F182" s="77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7"/>
      <c r="B183" s="77"/>
      <c r="C183" s="77"/>
      <c r="D183" s="77"/>
      <c r="E183" s="147"/>
      <c r="F183" s="77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7"/>
      <c r="B184" s="77"/>
      <c r="C184" s="77"/>
      <c r="D184" s="77"/>
      <c r="E184" s="147"/>
      <c r="F184" s="77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7"/>
      <c r="B185" s="77"/>
      <c r="C185" s="77"/>
      <c r="D185" s="77"/>
      <c r="E185" s="147"/>
      <c r="F185" s="77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7"/>
      <c r="B186" s="77"/>
      <c r="C186" s="77"/>
      <c r="D186" s="77"/>
      <c r="E186" s="147"/>
      <c r="F186" s="77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7"/>
      <c r="B187" s="77"/>
      <c r="C187" s="77"/>
      <c r="D187" s="77"/>
      <c r="E187" s="147"/>
      <c r="F187" s="77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7"/>
      <c r="B188" s="77"/>
      <c r="C188" s="77"/>
      <c r="D188" s="77"/>
      <c r="E188" s="147"/>
      <c r="F188" s="77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7"/>
      <c r="B189" s="77"/>
      <c r="C189" s="77"/>
      <c r="D189" s="77"/>
      <c r="E189" s="147"/>
      <c r="F189" s="77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7"/>
      <c r="B190" s="77"/>
      <c r="C190" s="77"/>
      <c r="D190" s="77"/>
      <c r="E190" s="147"/>
      <c r="F190" s="77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7"/>
      <c r="B191" s="77"/>
      <c r="C191" s="77"/>
      <c r="D191" s="77"/>
      <c r="E191" s="147"/>
      <c r="F191" s="77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7"/>
      <c r="B192" s="77"/>
      <c r="C192" s="77"/>
      <c r="D192" s="77"/>
      <c r="E192" s="147"/>
      <c r="F192" s="77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7"/>
      <c r="B193" s="77"/>
      <c r="C193" s="77"/>
      <c r="D193" s="77"/>
      <c r="E193" s="147"/>
      <c r="F193" s="77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7"/>
      <c r="B194" s="77"/>
      <c r="C194" s="77"/>
      <c r="D194" s="77"/>
      <c r="E194" s="147"/>
      <c r="F194" s="77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7"/>
      <c r="B195" s="77"/>
      <c r="C195" s="77"/>
      <c r="D195" s="77"/>
      <c r="E195" s="147"/>
      <c r="F195" s="77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7"/>
      <c r="B196" s="77"/>
      <c r="C196" s="77"/>
      <c r="D196" s="77"/>
      <c r="E196" s="147"/>
      <c r="F196" s="77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7"/>
      <c r="B197" s="77"/>
      <c r="C197" s="77"/>
      <c r="D197" s="77"/>
      <c r="E197" s="147"/>
      <c r="F197" s="77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7"/>
      <c r="B198" s="77"/>
      <c r="C198" s="77"/>
      <c r="D198" s="77"/>
      <c r="E198" s="147"/>
      <c r="F198" s="77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7"/>
      <c r="B199" s="77"/>
      <c r="C199" s="77"/>
      <c r="D199" s="77"/>
      <c r="E199" s="147"/>
      <c r="F199" s="77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7"/>
      <c r="B200" s="77"/>
      <c r="C200" s="77"/>
      <c r="D200" s="77"/>
      <c r="E200" s="147"/>
      <c r="F200" s="77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7"/>
      <c r="B201" s="77"/>
      <c r="C201" s="77"/>
      <c r="D201" s="77"/>
      <c r="E201" s="147"/>
      <c r="F201" s="77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7"/>
      <c r="B202" s="77"/>
      <c r="C202" s="77"/>
      <c r="D202" s="77"/>
      <c r="E202" s="147"/>
      <c r="F202" s="77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7"/>
      <c r="B203" s="77"/>
      <c r="C203" s="77"/>
      <c r="D203" s="77"/>
      <c r="E203" s="147"/>
      <c r="F203" s="77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7"/>
      <c r="B204" s="77"/>
      <c r="C204" s="77"/>
      <c r="D204" s="77"/>
      <c r="E204" s="147"/>
      <c r="F204" s="77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7"/>
      <c r="B205" s="77"/>
      <c r="C205" s="77"/>
      <c r="D205" s="77"/>
      <c r="E205" s="147"/>
      <c r="F205" s="77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7"/>
      <c r="B206" s="77"/>
      <c r="C206" s="77"/>
      <c r="D206" s="77"/>
      <c r="E206" s="147"/>
      <c r="F206" s="77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7"/>
      <c r="B207" s="77"/>
      <c r="C207" s="77"/>
      <c r="D207" s="77"/>
      <c r="E207" s="147"/>
      <c r="F207" s="77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7"/>
      <c r="B208" s="77"/>
      <c r="C208" s="77"/>
      <c r="D208" s="77"/>
      <c r="E208" s="147"/>
      <c r="F208" s="77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7"/>
      <c r="B209" s="77"/>
      <c r="C209" s="77"/>
      <c r="D209" s="77"/>
      <c r="E209" s="147"/>
      <c r="F209" s="77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7"/>
      <c r="B210" s="77"/>
      <c r="C210" s="77"/>
      <c r="D210" s="77"/>
      <c r="E210" s="147"/>
      <c r="F210" s="77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7"/>
      <c r="B211" s="77"/>
      <c r="C211" s="77"/>
      <c r="D211" s="77"/>
      <c r="E211" s="147"/>
      <c r="F211" s="77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7"/>
      <c r="B212" s="77"/>
      <c r="C212" s="77"/>
      <c r="D212" s="77"/>
      <c r="E212" s="147"/>
      <c r="F212" s="77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7"/>
      <c r="B213" s="77"/>
      <c r="C213" s="77"/>
      <c r="D213" s="77"/>
      <c r="E213" s="147"/>
      <c r="F213" s="77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7"/>
      <c r="B214" s="77"/>
      <c r="C214" s="77"/>
      <c r="D214" s="77"/>
      <c r="E214" s="147"/>
      <c r="F214" s="77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7"/>
      <c r="B215" s="77"/>
      <c r="C215" s="77"/>
      <c r="D215" s="77"/>
      <c r="E215" s="147"/>
      <c r="F215" s="77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7"/>
      <c r="B216" s="77"/>
      <c r="C216" s="77"/>
      <c r="D216" s="77"/>
      <c r="E216" s="147"/>
      <c r="F216" s="77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7"/>
      <c r="B217" s="77"/>
      <c r="C217" s="77"/>
      <c r="D217" s="77"/>
      <c r="E217" s="147"/>
      <c r="F217" s="77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7"/>
      <c r="B218" s="77"/>
      <c r="C218" s="77"/>
      <c r="D218" s="77"/>
      <c r="E218" s="147"/>
      <c r="F218" s="77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7"/>
      <c r="B219" s="77"/>
      <c r="C219" s="77"/>
      <c r="D219" s="77"/>
      <c r="E219" s="147"/>
      <c r="F219" s="77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7"/>
      <c r="B220" s="77"/>
      <c r="C220" s="77"/>
      <c r="D220" s="77"/>
      <c r="E220" s="147"/>
      <c r="F220" s="77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7"/>
      <c r="B221" s="77"/>
      <c r="C221" s="77"/>
      <c r="D221" s="77"/>
      <c r="E221" s="147"/>
      <c r="F221" s="77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7"/>
      <c r="B222" s="77"/>
      <c r="C222" s="77"/>
      <c r="D222" s="77"/>
      <c r="E222" s="147"/>
      <c r="F222" s="77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7"/>
      <c r="B223" s="77"/>
      <c r="C223" s="77"/>
      <c r="D223" s="77"/>
      <c r="E223" s="147"/>
      <c r="F223" s="77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7"/>
      <c r="B224" s="77"/>
      <c r="C224" s="77"/>
      <c r="D224" s="77"/>
      <c r="E224" s="147"/>
      <c r="F224" s="77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7"/>
      <c r="B225" s="77"/>
      <c r="C225" s="77"/>
      <c r="D225" s="77"/>
      <c r="E225" s="147"/>
      <c r="F225" s="77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7"/>
      <c r="B226" s="77"/>
      <c r="C226" s="77"/>
      <c r="D226" s="77"/>
      <c r="E226" s="147"/>
      <c r="F226" s="77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7"/>
      <c r="B227" s="77"/>
      <c r="C227" s="77"/>
      <c r="D227" s="77"/>
      <c r="E227" s="147"/>
      <c r="F227" s="77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7"/>
      <c r="B228" s="77"/>
      <c r="C228" s="77"/>
      <c r="D228" s="77"/>
      <c r="E228" s="147"/>
      <c r="F228" s="77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7"/>
      <c r="B229" s="77"/>
      <c r="C229" s="77"/>
      <c r="D229" s="77"/>
      <c r="E229" s="147"/>
      <c r="F229" s="77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7"/>
      <c r="B230" s="77"/>
      <c r="C230" s="77"/>
      <c r="D230" s="77"/>
      <c r="E230" s="147"/>
      <c r="F230" s="77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7"/>
      <c r="B231" s="77"/>
      <c r="C231" s="77"/>
      <c r="D231" s="77"/>
      <c r="E231" s="147"/>
      <c r="F231" s="77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7"/>
      <c r="B232" s="77"/>
      <c r="C232" s="77"/>
      <c r="D232" s="77"/>
      <c r="E232" s="147"/>
      <c r="F232" s="77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7"/>
      <c r="B233" s="77"/>
      <c r="C233" s="77"/>
      <c r="D233" s="77"/>
      <c r="E233" s="147"/>
      <c r="F233" s="77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7"/>
      <c r="B234" s="77"/>
      <c r="C234" s="77"/>
      <c r="D234" s="77"/>
      <c r="E234" s="147"/>
      <c r="F234" s="77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7"/>
      <c r="B235" s="77"/>
      <c r="C235" s="77"/>
      <c r="D235" s="77"/>
      <c r="E235" s="147"/>
      <c r="F235" s="77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7"/>
      <c r="B236" s="77"/>
      <c r="C236" s="77"/>
      <c r="D236" s="77"/>
      <c r="E236" s="147"/>
      <c r="F236" s="77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7"/>
      <c r="B237" s="77"/>
      <c r="C237" s="77"/>
      <c r="D237" s="77"/>
      <c r="E237" s="147"/>
      <c r="F237" s="77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7"/>
      <c r="B238" s="77"/>
      <c r="C238" s="77"/>
      <c r="D238" s="77"/>
      <c r="E238" s="147"/>
      <c r="F238" s="77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7"/>
      <c r="B239" s="77"/>
      <c r="C239" s="77"/>
      <c r="D239" s="77"/>
      <c r="E239" s="147"/>
      <c r="F239" s="77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7"/>
      <c r="B240" s="77"/>
      <c r="C240" s="77"/>
      <c r="D240" s="77"/>
      <c r="E240" s="147"/>
      <c r="F240" s="77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7"/>
      <c r="B241" s="77"/>
      <c r="C241" s="77"/>
      <c r="D241" s="77"/>
      <c r="E241" s="147"/>
      <c r="F241" s="77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7"/>
      <c r="B242" s="77"/>
      <c r="C242" s="77"/>
      <c r="D242" s="77"/>
      <c r="E242" s="147"/>
      <c r="F242" s="77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7"/>
      <c r="B243" s="77"/>
      <c r="C243" s="77"/>
      <c r="D243" s="77"/>
      <c r="E243" s="147"/>
      <c r="F243" s="77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7"/>
      <c r="B244" s="77"/>
      <c r="C244" s="77"/>
      <c r="D244" s="77"/>
      <c r="E244" s="147"/>
      <c r="F244" s="77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7"/>
      <c r="B245" s="77"/>
      <c r="C245" s="77"/>
      <c r="D245" s="77"/>
      <c r="E245" s="147"/>
      <c r="F245" s="77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7"/>
      <c r="B246" s="77"/>
      <c r="C246" s="77"/>
      <c r="D246" s="77"/>
      <c r="E246" s="147"/>
      <c r="F246" s="77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7"/>
      <c r="B247" s="77"/>
      <c r="C247" s="77"/>
      <c r="D247" s="77"/>
      <c r="E247" s="147"/>
      <c r="F247" s="77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7"/>
      <c r="B248" s="77"/>
      <c r="C248" s="77"/>
      <c r="D248" s="77"/>
      <c r="E248" s="147"/>
      <c r="F248" s="77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7"/>
      <c r="B249" s="77"/>
      <c r="C249" s="77"/>
      <c r="D249" s="77"/>
      <c r="E249" s="147"/>
      <c r="F249" s="77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7"/>
      <c r="B250" s="77"/>
      <c r="C250" s="77"/>
      <c r="D250" s="77"/>
      <c r="E250" s="147"/>
      <c r="F250" s="77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7"/>
      <c r="B251" s="77"/>
      <c r="C251" s="77"/>
      <c r="D251" s="77"/>
      <c r="E251" s="147"/>
      <c r="F251" s="77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7"/>
      <c r="B252" s="77"/>
      <c r="C252" s="77"/>
      <c r="D252" s="77"/>
      <c r="E252" s="147"/>
      <c r="F252" s="77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7"/>
      <c r="B253" s="77"/>
      <c r="C253" s="77"/>
      <c r="D253" s="77"/>
      <c r="E253" s="147"/>
      <c r="F253" s="77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7"/>
      <c r="B254" s="77"/>
      <c r="C254" s="77"/>
      <c r="D254" s="77"/>
      <c r="E254" s="147"/>
      <c r="F254" s="77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7"/>
      <c r="B255" s="77"/>
      <c r="C255" s="77"/>
      <c r="D255" s="77"/>
      <c r="E255" s="147"/>
      <c r="F255" s="77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7"/>
      <c r="B256" s="77"/>
      <c r="C256" s="77"/>
      <c r="D256" s="77"/>
      <c r="E256" s="147"/>
      <c r="F256" s="77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7"/>
      <c r="B257" s="77"/>
      <c r="C257" s="77"/>
      <c r="D257" s="77"/>
      <c r="E257" s="147"/>
      <c r="F257" s="77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7"/>
      <c r="B258" s="77"/>
      <c r="C258" s="77"/>
      <c r="D258" s="77"/>
      <c r="E258" s="147"/>
      <c r="F258" s="77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7"/>
      <c r="B259" s="77"/>
      <c r="C259" s="77"/>
      <c r="D259" s="77"/>
      <c r="E259" s="147"/>
      <c r="F259" s="77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7"/>
      <c r="B260" s="77"/>
      <c r="C260" s="77"/>
      <c r="D260" s="77"/>
      <c r="E260" s="147"/>
      <c r="F260" s="77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7"/>
      <c r="B261" s="77"/>
      <c r="C261" s="77"/>
      <c r="D261" s="77"/>
      <c r="E261" s="147"/>
      <c r="F261" s="77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7"/>
      <c r="B262" s="77"/>
      <c r="C262" s="77"/>
      <c r="D262" s="77"/>
      <c r="E262" s="147"/>
      <c r="F262" s="77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7"/>
      <c r="B263" s="77"/>
      <c r="C263" s="77"/>
      <c r="D263" s="77"/>
      <c r="E263" s="147"/>
      <c r="F263" s="77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7"/>
      <c r="B264" s="77"/>
      <c r="C264" s="77"/>
      <c r="D264" s="77"/>
      <c r="E264" s="147"/>
      <c r="F264" s="77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7"/>
      <c r="B265" s="77"/>
      <c r="C265" s="77"/>
      <c r="D265" s="77"/>
      <c r="E265" s="147"/>
      <c r="F265" s="77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</sheetData>
  <mergeCells count="15">
    <mergeCell ref="A49:Z49"/>
    <mergeCell ref="B50:D50"/>
    <mergeCell ref="A64:Z64"/>
    <mergeCell ref="A66:G66"/>
    <mergeCell ref="A67:G67"/>
    <mergeCell ref="A68:G68"/>
    <mergeCell ref="A69:G69"/>
    <mergeCell ref="A70:G70"/>
    <mergeCell ref="A1:E1"/>
    <mergeCell ref="A2:D2"/>
    <mergeCell ref="B5:D5"/>
    <mergeCell ref="A23:Z23"/>
    <mergeCell ref="A24:Z24"/>
    <mergeCell ref="B25:D25"/>
    <mergeCell ref="A48:Z48"/>
  </mergeCells>
  <hyperlinks>
    <hyperlink r:id="rId1" ref="B7"/>
    <hyperlink r:id="rId2" ref="B8"/>
    <hyperlink r:id="rId3" ref="B10"/>
    <hyperlink display="Barbell Back Squat TEST" location="TESTS!A1" ref="B14"/>
    <hyperlink r:id="rId4" ref="B15"/>
    <hyperlink r:id="rId5" ref="B16"/>
    <hyperlink r:id="rId6" ref="B17"/>
    <hyperlink r:id="rId7" ref="B18"/>
    <hyperlink r:id="rId8" ref="B19"/>
    <hyperlink r:id="rId9" ref="B27"/>
    <hyperlink r:id="rId10" ref="B28"/>
    <hyperlink r:id="rId11" ref="B29"/>
    <hyperlink r:id="rId12" ref="B30"/>
    <hyperlink r:id="rId13" ref="B34"/>
    <hyperlink r:id="rId14" ref="B35"/>
    <hyperlink r:id="rId15" ref="B36"/>
    <hyperlink r:id="rId16" ref="B37"/>
    <hyperlink r:id="rId17" ref="B40"/>
    <hyperlink r:id="rId18" ref="B41"/>
    <hyperlink r:id="rId19" ref="B42"/>
    <hyperlink r:id="rId20" ref="B43"/>
    <hyperlink r:id="rId21" ref="B51"/>
    <hyperlink r:id="rId22" ref="B52"/>
    <hyperlink display="Hip Thrust TEST" location="TESTS!A1" ref="B56"/>
    <hyperlink r:id="rId23" ref="B57"/>
    <hyperlink r:id="rId24" ref="B58"/>
    <hyperlink r:id="rId25" ref="B59"/>
    <hyperlink r:id="rId26" ref="B60"/>
  </hyperlinks>
  <drawing r:id="rId2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0.38"/>
    <col customWidth="1" min="3" max="3" width="14.63"/>
    <col customWidth="1" min="4" max="4" width="17.0"/>
    <col customWidth="1" min="5" max="5" width="15.25"/>
    <col customWidth="1" min="6" max="6" width="45.0"/>
    <col customWidth="1" min="7" max="7" width="26.13"/>
  </cols>
  <sheetData>
    <row r="1">
      <c r="A1" s="1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2</v>
      </c>
      <c r="E2" s="10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/>
      <c r="B3" s="7"/>
      <c r="C3" s="7"/>
      <c r="D3" s="7"/>
      <c r="E3" s="13" t="s">
        <v>14</v>
      </c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15" t="s">
        <v>10</v>
      </c>
      <c r="C4" s="15" t="s">
        <v>12</v>
      </c>
      <c r="D4" s="17" t="s">
        <v>13</v>
      </c>
      <c r="E4" s="19" t="s">
        <v>11</v>
      </c>
      <c r="F4" s="21" t="s">
        <v>15</v>
      </c>
      <c r="G4" s="19" t="s">
        <v>16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3" t="s">
        <v>21</v>
      </c>
      <c r="B5" s="7"/>
      <c r="E5" s="25"/>
      <c r="F5" s="2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24</v>
      </c>
      <c r="B6" s="28" t="s">
        <v>26</v>
      </c>
      <c r="C6" s="28" t="s">
        <v>27</v>
      </c>
      <c r="D6" s="30"/>
      <c r="E6" s="31"/>
      <c r="F6" s="2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2"/>
      <c r="B7" s="38" t="s">
        <v>29</v>
      </c>
      <c r="C7" s="39">
        <v>12.0</v>
      </c>
      <c r="D7" s="30"/>
      <c r="E7" s="31"/>
      <c r="F7" s="2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2"/>
      <c r="B8" s="38" t="s">
        <v>40</v>
      </c>
      <c r="C8" s="28" t="s">
        <v>43</v>
      </c>
      <c r="D8" s="30"/>
      <c r="E8" s="31"/>
      <c r="F8" s="2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2"/>
      <c r="B9" s="28" t="s">
        <v>44</v>
      </c>
      <c r="C9" s="28" t="s">
        <v>45</v>
      </c>
      <c r="D9" s="30"/>
      <c r="E9" s="31"/>
      <c r="F9" s="2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2"/>
      <c r="B10" s="38" t="s">
        <v>46</v>
      </c>
      <c r="C10" s="28" t="s">
        <v>49</v>
      </c>
      <c r="D10" s="30"/>
      <c r="E10" s="31"/>
      <c r="F10" s="4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2"/>
      <c r="B11" s="30"/>
      <c r="C11" s="30"/>
      <c r="D11" s="30"/>
      <c r="E11" s="31"/>
      <c r="F11" s="5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2"/>
      <c r="B12" s="30"/>
      <c r="C12" s="30"/>
      <c r="D12" s="30"/>
      <c r="E12" s="31"/>
      <c r="F12" s="5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2"/>
      <c r="B13" s="30"/>
      <c r="C13" s="30"/>
      <c r="D13" s="37" t="s">
        <v>33</v>
      </c>
      <c r="E13" s="31"/>
      <c r="F13" s="4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52</v>
      </c>
      <c r="B14" s="53" t="s">
        <v>55</v>
      </c>
      <c r="C14" s="55"/>
      <c r="D14" s="45" t="s">
        <v>61</v>
      </c>
      <c r="E14" s="57"/>
      <c r="F14" s="4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1"/>
      <c r="B15" s="63" t="s">
        <v>68</v>
      </c>
      <c r="C15" s="65" t="s">
        <v>66</v>
      </c>
      <c r="D15" s="51" t="s">
        <v>67</v>
      </c>
      <c r="E15" s="57" t="s">
        <v>182</v>
      </c>
      <c r="F15" s="4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1"/>
      <c r="B16" s="63" t="s">
        <v>78</v>
      </c>
      <c r="C16" s="65" t="s">
        <v>82</v>
      </c>
      <c r="D16" s="51" t="s">
        <v>67</v>
      </c>
      <c r="E16" s="76" t="s">
        <v>152</v>
      </c>
      <c r="F16" s="49" t="s">
        <v>85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/>
      <c r="B17" s="63" t="s">
        <v>87</v>
      </c>
      <c r="C17" s="65" t="s">
        <v>91</v>
      </c>
      <c r="D17" s="51" t="s">
        <v>67</v>
      </c>
      <c r="E17" s="76">
        <v>20.0</v>
      </c>
      <c r="F17" s="49" t="s">
        <v>193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63" t="s">
        <v>97</v>
      </c>
      <c r="C18" s="65" t="s">
        <v>104</v>
      </c>
      <c r="D18" s="51" t="s">
        <v>67</v>
      </c>
      <c r="E18" s="76" t="s">
        <v>188</v>
      </c>
      <c r="F18" s="49" t="s">
        <v>105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8" t="s">
        <v>107</v>
      </c>
      <c r="B19" s="89" t="s">
        <v>108</v>
      </c>
      <c r="C19" s="90" t="s">
        <v>112</v>
      </c>
      <c r="D19" s="59" t="s">
        <v>113</v>
      </c>
      <c r="E19" s="76" t="s">
        <v>189</v>
      </c>
      <c r="F19" s="49" t="s">
        <v>114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91"/>
      <c r="C20" s="91"/>
      <c r="D20" s="91"/>
      <c r="E20" s="25"/>
      <c r="F20" s="5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8" t="s">
        <v>115</v>
      </c>
      <c r="B21" s="92" t="s">
        <v>116</v>
      </c>
      <c r="C21" s="93" t="s">
        <v>118</v>
      </c>
      <c r="D21" s="92" t="s">
        <v>113</v>
      </c>
      <c r="E21" s="94" t="s">
        <v>190</v>
      </c>
      <c r="F21" s="95" t="s">
        <v>121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/>
      <c r="B22" s="7"/>
      <c r="C22" s="7"/>
      <c r="D22" s="7"/>
      <c r="E22" s="25"/>
      <c r="F22" s="2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7"/>
    </row>
    <row r="25">
      <c r="A25" s="23" t="s">
        <v>122</v>
      </c>
      <c r="B25" s="98"/>
      <c r="E25" s="25"/>
      <c r="F25" s="2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 t="s">
        <v>24</v>
      </c>
      <c r="B26" s="99" t="s">
        <v>123</v>
      </c>
      <c r="C26" s="100" t="s">
        <v>124</v>
      </c>
      <c r="D26" s="100"/>
      <c r="E26" s="101"/>
      <c r="F26" s="2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1"/>
      <c r="B27" s="38" t="s">
        <v>125</v>
      </c>
      <c r="C27" s="39" t="s">
        <v>126</v>
      </c>
      <c r="D27" s="100"/>
      <c r="E27" s="101"/>
      <c r="F27" s="2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1"/>
      <c r="B28" s="38" t="s">
        <v>127</v>
      </c>
      <c r="C28" s="39" t="s">
        <v>45</v>
      </c>
      <c r="D28" s="100"/>
      <c r="E28" s="101"/>
      <c r="F28" s="2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1"/>
      <c r="B29" s="102" t="s">
        <v>128</v>
      </c>
      <c r="C29" s="100" t="s">
        <v>129</v>
      </c>
      <c r="D29" s="100"/>
      <c r="E29" s="101"/>
      <c r="F29" s="103" t="s">
        <v>130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1"/>
      <c r="B30" s="102" t="s">
        <v>131</v>
      </c>
      <c r="C30" s="104">
        <v>10.0</v>
      </c>
      <c r="D30" s="100"/>
      <c r="E30" s="101"/>
      <c r="F30" s="2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1"/>
      <c r="B31" s="105"/>
      <c r="C31" s="91"/>
      <c r="D31" s="91"/>
      <c r="E31" s="101"/>
      <c r="F31" s="2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1"/>
      <c r="B32" s="91"/>
      <c r="C32" s="91"/>
      <c r="D32" s="91"/>
      <c r="E32" s="101"/>
      <c r="F32" s="2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1"/>
      <c r="B33" s="91"/>
      <c r="C33" s="91"/>
      <c r="D33" s="91"/>
      <c r="E33" s="101"/>
      <c r="F33" s="2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 t="s">
        <v>132</v>
      </c>
      <c r="B34" s="106" t="s">
        <v>133</v>
      </c>
      <c r="C34" s="43" t="s">
        <v>66</v>
      </c>
      <c r="D34" s="45" t="s">
        <v>134</v>
      </c>
      <c r="E34" s="107"/>
      <c r="F34" s="103" t="s">
        <v>194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1"/>
      <c r="B35" s="63" t="s">
        <v>136</v>
      </c>
      <c r="C35" s="28" t="s">
        <v>66</v>
      </c>
      <c r="D35" s="51" t="s">
        <v>67</v>
      </c>
      <c r="E35" s="107" t="s">
        <v>143</v>
      </c>
      <c r="F35" s="103" t="s">
        <v>195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63" t="s">
        <v>139</v>
      </c>
      <c r="C36" s="28" t="s">
        <v>66</v>
      </c>
      <c r="D36" s="51" t="s">
        <v>67</v>
      </c>
      <c r="E36" s="107" t="s">
        <v>148</v>
      </c>
      <c r="F36" s="103" t="s">
        <v>141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89" t="s">
        <v>142</v>
      </c>
      <c r="C37" s="108" t="s">
        <v>145</v>
      </c>
      <c r="D37" s="59" t="s">
        <v>67</v>
      </c>
      <c r="E37" s="107" t="s">
        <v>152</v>
      </c>
      <c r="F37" s="10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5"/>
      <c r="B38" s="105"/>
      <c r="C38" s="105"/>
      <c r="D38" s="91"/>
      <c r="E38" s="107"/>
      <c r="F38" s="10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5"/>
      <c r="B39" s="105"/>
      <c r="C39" s="105"/>
      <c r="D39" s="91"/>
      <c r="E39" s="107"/>
      <c r="F39" s="10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3" t="s">
        <v>146</v>
      </c>
      <c r="B40" s="102" t="s">
        <v>147</v>
      </c>
      <c r="C40" s="100" t="s">
        <v>149</v>
      </c>
      <c r="D40" s="109" t="s">
        <v>150</v>
      </c>
      <c r="E40" s="107"/>
      <c r="F40" s="10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1"/>
      <c r="B41" s="102" t="s">
        <v>151</v>
      </c>
      <c r="C41" s="104">
        <v>10.0</v>
      </c>
      <c r="D41" s="109" t="s">
        <v>150</v>
      </c>
      <c r="E41" s="101"/>
      <c r="F41" s="103" t="s">
        <v>153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1"/>
      <c r="B42" s="102" t="s">
        <v>154</v>
      </c>
      <c r="C42" s="104">
        <v>10.0</v>
      </c>
      <c r="D42" s="109" t="s">
        <v>150</v>
      </c>
      <c r="E42" s="101"/>
      <c r="F42" s="110" t="s">
        <v>155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1"/>
      <c r="B43" s="102" t="s">
        <v>156</v>
      </c>
      <c r="C43" s="100" t="s">
        <v>157</v>
      </c>
      <c r="D43" s="109" t="s">
        <v>150</v>
      </c>
      <c r="E43" s="101"/>
      <c r="F43" s="2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1"/>
      <c r="B44" s="91"/>
      <c r="C44" s="91"/>
      <c r="D44" s="91"/>
      <c r="E44" s="101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1"/>
      <c r="B45" s="91"/>
      <c r="C45" s="91"/>
      <c r="D45" s="91"/>
      <c r="E45" s="101"/>
      <c r="F45" s="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1" t="s">
        <v>158</v>
      </c>
      <c r="B46" s="111" t="s">
        <v>159</v>
      </c>
      <c r="C46" s="111" t="s">
        <v>160</v>
      </c>
      <c r="D46" s="112" t="s">
        <v>113</v>
      </c>
      <c r="E46" s="101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1"/>
      <c r="B47" s="91"/>
      <c r="C47" s="91"/>
      <c r="D47" s="91"/>
      <c r="E47" s="101"/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113"/>
    </row>
    <row r="49">
      <c r="A49" s="114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6" t="s">
        <v>161</v>
      </c>
      <c r="B50" s="117"/>
      <c r="E50" s="118"/>
      <c r="F50" s="119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>
      <c r="A51" s="121" t="s">
        <v>24</v>
      </c>
      <c r="B51" s="38" t="s">
        <v>29</v>
      </c>
      <c r="C51" s="39">
        <v>12.0</v>
      </c>
      <c r="D51" s="122"/>
      <c r="E51" s="123"/>
      <c r="F51" s="119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>
      <c r="A52" s="113"/>
      <c r="B52" s="38" t="s">
        <v>40</v>
      </c>
      <c r="C52" s="28" t="s">
        <v>43</v>
      </c>
      <c r="D52" s="122"/>
      <c r="E52" s="118"/>
      <c r="F52" s="119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>
      <c r="A53" s="113"/>
      <c r="B53" s="124" t="s">
        <v>44</v>
      </c>
      <c r="C53" s="124" t="s">
        <v>126</v>
      </c>
      <c r="D53" s="122"/>
      <c r="E53" s="118"/>
      <c r="F53" s="119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>
      <c r="A54" s="113"/>
      <c r="B54" s="125"/>
      <c r="C54" s="125"/>
      <c r="D54" s="125"/>
      <c r="E54" s="118"/>
      <c r="F54" s="119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>
      <c r="A55" s="126"/>
      <c r="B55" s="127"/>
      <c r="C55" s="127"/>
      <c r="D55" s="127"/>
      <c r="E55" s="118"/>
      <c r="F55" s="119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>
      <c r="A56" s="121" t="s">
        <v>162</v>
      </c>
      <c r="B56" s="128" t="s">
        <v>163</v>
      </c>
      <c r="C56" s="129"/>
      <c r="D56" s="130" t="s">
        <v>42</v>
      </c>
      <c r="E56" s="118"/>
      <c r="F56" s="131" t="s">
        <v>164</v>
      </c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>
      <c r="A57" s="132"/>
      <c r="B57" s="128" t="s">
        <v>165</v>
      </c>
      <c r="C57" s="129" t="s">
        <v>166</v>
      </c>
      <c r="D57" s="130" t="s">
        <v>42</v>
      </c>
      <c r="E57" s="94" t="s">
        <v>169</v>
      </c>
      <c r="F57" s="133" t="s">
        <v>167</v>
      </c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>
      <c r="A58" s="126"/>
      <c r="B58" s="128" t="s">
        <v>168</v>
      </c>
      <c r="C58" s="129" t="s">
        <v>82</v>
      </c>
      <c r="D58" s="130" t="s">
        <v>170</v>
      </c>
      <c r="E58" s="94" t="s">
        <v>172</v>
      </c>
      <c r="F58" s="135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>
      <c r="A59" s="126"/>
      <c r="B59" s="128" t="s">
        <v>171</v>
      </c>
      <c r="C59" s="129" t="s">
        <v>173</v>
      </c>
      <c r="D59" s="130" t="s">
        <v>42</v>
      </c>
      <c r="E59" s="94" t="s">
        <v>176</v>
      </c>
      <c r="F59" s="133" t="s">
        <v>174</v>
      </c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>
      <c r="A60" s="126"/>
      <c r="B60" s="128" t="s">
        <v>175</v>
      </c>
      <c r="C60" s="129" t="s">
        <v>82</v>
      </c>
      <c r="D60" s="130" t="s">
        <v>42</v>
      </c>
      <c r="E60" s="94" t="s">
        <v>179</v>
      </c>
      <c r="F60" s="135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>
      <c r="A61" s="126"/>
      <c r="B61" s="136"/>
      <c r="C61" s="136"/>
      <c r="D61" s="136"/>
      <c r="E61" s="137"/>
      <c r="F61" s="135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>
      <c r="A62" s="11" t="s">
        <v>177</v>
      </c>
      <c r="B62" s="111" t="s">
        <v>159</v>
      </c>
      <c r="C62" s="111" t="s">
        <v>178</v>
      </c>
      <c r="D62" s="138" t="s">
        <v>113</v>
      </c>
      <c r="E62" s="139"/>
      <c r="F62" s="136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16.5" customHeight="1">
      <c r="A63" s="141"/>
      <c r="B63" s="141"/>
      <c r="C63" s="141"/>
      <c r="D63" s="141"/>
      <c r="E63" s="142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ht="16.5" customHeight="1">
      <c r="A64" s="141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4" t="s">
        <v>180</v>
      </c>
      <c r="B66" s="4"/>
      <c r="C66" s="4"/>
      <c r="D66" s="4"/>
      <c r="E66" s="4"/>
      <c r="F66" s="4"/>
      <c r="G66" s="6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>
      <c r="A67" s="145" t="s">
        <v>181</v>
      </c>
      <c r="B67" s="4"/>
      <c r="C67" s="4"/>
      <c r="D67" s="4"/>
      <c r="E67" s="4"/>
      <c r="F67" s="4"/>
      <c r="G67" s="6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146" t="s">
        <v>183</v>
      </c>
      <c r="B68" s="4"/>
      <c r="C68" s="4"/>
      <c r="D68" s="4"/>
      <c r="E68" s="4"/>
      <c r="F68" s="4"/>
      <c r="G68" s="6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145" t="s">
        <v>184</v>
      </c>
      <c r="B69" s="4"/>
      <c r="C69" s="4"/>
      <c r="D69" s="4"/>
      <c r="E69" s="4"/>
      <c r="F69" s="4"/>
      <c r="G69" s="6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146" t="s">
        <v>185</v>
      </c>
      <c r="B70" s="4"/>
      <c r="C70" s="4"/>
      <c r="D70" s="4"/>
      <c r="E70" s="4"/>
      <c r="F70" s="4"/>
      <c r="G70" s="6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7"/>
      <c r="B71" s="77"/>
      <c r="C71" s="77"/>
      <c r="D71" s="77"/>
      <c r="E71" s="147"/>
      <c r="F71" s="77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7"/>
      <c r="B72" s="77"/>
      <c r="C72" s="77"/>
      <c r="D72" s="77"/>
      <c r="E72" s="147"/>
      <c r="F72" s="77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7"/>
      <c r="B73" s="77"/>
      <c r="C73" s="77"/>
      <c r="D73" s="77"/>
      <c r="E73" s="147"/>
      <c r="F73" s="77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7"/>
      <c r="B74" s="77"/>
      <c r="C74" s="77"/>
      <c r="D74" s="77"/>
      <c r="E74" s="147"/>
      <c r="F74" s="77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7"/>
      <c r="B75" s="77"/>
      <c r="C75" s="77"/>
      <c r="D75" s="77"/>
      <c r="E75" s="147"/>
      <c r="F75" s="77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7"/>
      <c r="B76" s="77"/>
      <c r="C76" s="77"/>
      <c r="D76" s="77"/>
      <c r="E76" s="147"/>
      <c r="F76" s="77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7"/>
      <c r="B77" s="77"/>
      <c r="C77" s="77"/>
      <c r="D77" s="77"/>
      <c r="E77" s="147"/>
      <c r="F77" s="77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7"/>
      <c r="B78" s="77"/>
      <c r="C78" s="77"/>
      <c r="D78" s="77"/>
      <c r="E78" s="147"/>
      <c r="F78" s="77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7"/>
      <c r="B79" s="77"/>
      <c r="C79" s="77"/>
      <c r="D79" s="77"/>
      <c r="E79" s="147"/>
      <c r="F79" s="77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7"/>
      <c r="B80" s="77"/>
      <c r="C80" s="77"/>
      <c r="D80" s="77"/>
      <c r="E80" s="147"/>
      <c r="F80" s="77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7"/>
      <c r="B81" s="77"/>
      <c r="C81" s="77"/>
      <c r="D81" s="77"/>
      <c r="E81" s="147"/>
      <c r="F81" s="77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7"/>
      <c r="B82" s="77"/>
      <c r="C82" s="77"/>
      <c r="D82" s="77"/>
      <c r="E82" s="147"/>
      <c r="F82" s="77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7"/>
      <c r="B83" s="77"/>
      <c r="C83" s="77"/>
      <c r="D83" s="77"/>
      <c r="E83" s="147"/>
      <c r="F83" s="77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7"/>
      <c r="B84" s="77"/>
      <c r="C84" s="77"/>
      <c r="D84" s="77"/>
      <c r="E84" s="147"/>
      <c r="F84" s="77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7"/>
      <c r="B85" s="77"/>
      <c r="C85" s="77"/>
      <c r="D85" s="77"/>
      <c r="E85" s="147"/>
      <c r="F85" s="77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7"/>
      <c r="B86" s="77"/>
      <c r="C86" s="77"/>
      <c r="D86" s="77"/>
      <c r="E86" s="147"/>
      <c r="F86" s="77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7"/>
      <c r="B87" s="77"/>
      <c r="C87" s="77"/>
      <c r="D87" s="77"/>
      <c r="E87" s="147"/>
      <c r="F87" s="77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7"/>
      <c r="B88" s="77"/>
      <c r="C88" s="77"/>
      <c r="D88" s="77"/>
      <c r="E88" s="147"/>
      <c r="F88" s="77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7"/>
      <c r="B89" s="77"/>
      <c r="C89" s="77"/>
      <c r="D89" s="77"/>
      <c r="E89" s="147"/>
      <c r="F89" s="77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7"/>
      <c r="B90" s="77"/>
      <c r="C90" s="77"/>
      <c r="D90" s="77"/>
      <c r="E90" s="147"/>
      <c r="F90" s="77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7"/>
      <c r="B91" s="77"/>
      <c r="C91" s="77"/>
      <c r="D91" s="77"/>
      <c r="E91" s="147"/>
      <c r="F91" s="77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7"/>
      <c r="B92" s="77"/>
      <c r="C92" s="77"/>
      <c r="D92" s="77"/>
      <c r="E92" s="147"/>
      <c r="F92" s="77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7"/>
      <c r="B93" s="77"/>
      <c r="C93" s="77"/>
      <c r="D93" s="77"/>
      <c r="E93" s="147"/>
      <c r="F93" s="77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7"/>
      <c r="B94" s="77"/>
      <c r="C94" s="77"/>
      <c r="D94" s="77"/>
      <c r="E94" s="147"/>
      <c r="F94" s="77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7"/>
      <c r="B95" s="77"/>
      <c r="C95" s="77"/>
      <c r="D95" s="77"/>
      <c r="E95" s="147"/>
      <c r="F95" s="77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7"/>
      <c r="B96" s="77"/>
      <c r="C96" s="77"/>
      <c r="D96" s="77"/>
      <c r="E96" s="147"/>
      <c r="F96" s="77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7"/>
      <c r="B97" s="77"/>
      <c r="C97" s="77"/>
      <c r="D97" s="77"/>
      <c r="E97" s="147"/>
      <c r="F97" s="77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7"/>
      <c r="B98" s="77"/>
      <c r="C98" s="77"/>
      <c r="D98" s="77"/>
      <c r="E98" s="147"/>
      <c r="F98" s="77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7"/>
      <c r="B99" s="77"/>
      <c r="C99" s="77"/>
      <c r="D99" s="77"/>
      <c r="E99" s="147"/>
      <c r="F99" s="77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7"/>
      <c r="B100" s="77"/>
      <c r="C100" s="77"/>
      <c r="D100" s="77"/>
      <c r="E100" s="147"/>
      <c r="F100" s="77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7"/>
      <c r="B101" s="77"/>
      <c r="C101" s="77"/>
      <c r="D101" s="77"/>
      <c r="E101" s="147"/>
      <c r="F101" s="77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7"/>
      <c r="B102" s="77"/>
      <c r="C102" s="77"/>
      <c r="D102" s="77"/>
      <c r="E102" s="147"/>
      <c r="F102" s="77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7"/>
      <c r="B103" s="77"/>
      <c r="C103" s="77"/>
      <c r="D103" s="77"/>
      <c r="E103" s="147"/>
      <c r="F103" s="77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7"/>
      <c r="B104" s="77"/>
      <c r="C104" s="77"/>
      <c r="D104" s="77"/>
      <c r="E104" s="147"/>
      <c r="F104" s="77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7"/>
      <c r="B105" s="77"/>
      <c r="C105" s="77"/>
      <c r="D105" s="77"/>
      <c r="E105" s="147"/>
      <c r="F105" s="77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7"/>
      <c r="B106" s="77"/>
      <c r="C106" s="77"/>
      <c r="D106" s="77"/>
      <c r="E106" s="147"/>
      <c r="F106" s="77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7"/>
      <c r="B107" s="77"/>
      <c r="C107" s="77"/>
      <c r="D107" s="77"/>
      <c r="E107" s="147"/>
      <c r="F107" s="77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7"/>
      <c r="B108" s="77"/>
      <c r="C108" s="77"/>
      <c r="D108" s="77"/>
      <c r="E108" s="147"/>
      <c r="F108" s="77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7"/>
      <c r="B109" s="77"/>
      <c r="C109" s="77"/>
      <c r="D109" s="77"/>
      <c r="E109" s="147"/>
      <c r="F109" s="77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7"/>
      <c r="B110" s="77"/>
      <c r="C110" s="77"/>
      <c r="D110" s="77"/>
      <c r="E110" s="147"/>
      <c r="F110" s="77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7"/>
      <c r="B111" s="77"/>
      <c r="C111" s="77"/>
      <c r="D111" s="77"/>
      <c r="E111" s="147"/>
      <c r="F111" s="77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7"/>
      <c r="B112" s="77"/>
      <c r="C112" s="77"/>
      <c r="D112" s="77"/>
      <c r="E112" s="147"/>
      <c r="F112" s="77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7"/>
      <c r="B113" s="77"/>
      <c r="C113" s="77"/>
      <c r="D113" s="77"/>
      <c r="E113" s="147"/>
      <c r="F113" s="77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7"/>
      <c r="B114" s="77"/>
      <c r="C114" s="77"/>
      <c r="D114" s="77"/>
      <c r="E114" s="147"/>
      <c r="F114" s="77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7"/>
      <c r="B115" s="77"/>
      <c r="C115" s="77"/>
      <c r="D115" s="77"/>
      <c r="E115" s="147"/>
      <c r="F115" s="77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7"/>
      <c r="B116" s="77"/>
      <c r="C116" s="77"/>
      <c r="D116" s="77"/>
      <c r="E116" s="147"/>
      <c r="F116" s="77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7"/>
      <c r="B117" s="77"/>
      <c r="C117" s="77"/>
      <c r="D117" s="77"/>
      <c r="E117" s="147"/>
      <c r="F117" s="77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7"/>
      <c r="B118" s="77"/>
      <c r="C118" s="77"/>
      <c r="D118" s="77"/>
      <c r="E118" s="147"/>
      <c r="F118" s="77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7"/>
      <c r="B119" s="77"/>
      <c r="C119" s="77"/>
      <c r="D119" s="77"/>
      <c r="E119" s="147"/>
      <c r="F119" s="77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7"/>
      <c r="B120" s="77"/>
      <c r="C120" s="77"/>
      <c r="D120" s="77"/>
      <c r="E120" s="147"/>
      <c r="F120" s="77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7"/>
      <c r="B121" s="77"/>
      <c r="C121" s="77"/>
      <c r="D121" s="77"/>
      <c r="E121" s="147"/>
      <c r="F121" s="77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7"/>
      <c r="B122" s="77"/>
      <c r="C122" s="77"/>
      <c r="D122" s="77"/>
      <c r="E122" s="147"/>
      <c r="F122" s="77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7"/>
      <c r="B123" s="77"/>
      <c r="C123" s="77"/>
      <c r="D123" s="77"/>
      <c r="E123" s="147"/>
      <c r="F123" s="77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7"/>
      <c r="B124" s="77"/>
      <c r="C124" s="77"/>
      <c r="D124" s="77"/>
      <c r="E124" s="147"/>
      <c r="F124" s="77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7"/>
      <c r="B125" s="77"/>
      <c r="C125" s="77"/>
      <c r="D125" s="77"/>
      <c r="E125" s="147"/>
      <c r="F125" s="77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7"/>
      <c r="B126" s="77"/>
      <c r="C126" s="77"/>
      <c r="D126" s="77"/>
      <c r="E126" s="147"/>
      <c r="F126" s="77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7"/>
      <c r="B127" s="77"/>
      <c r="C127" s="77"/>
      <c r="D127" s="77"/>
      <c r="E127" s="147"/>
      <c r="F127" s="77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7"/>
      <c r="B128" s="77"/>
      <c r="C128" s="77"/>
      <c r="D128" s="77"/>
      <c r="E128" s="147"/>
      <c r="F128" s="77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7"/>
      <c r="B129" s="77"/>
      <c r="C129" s="77"/>
      <c r="D129" s="77"/>
      <c r="E129" s="147"/>
      <c r="F129" s="77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7"/>
      <c r="B130" s="77"/>
      <c r="C130" s="77"/>
      <c r="D130" s="77"/>
      <c r="E130" s="147"/>
      <c r="F130" s="77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7"/>
      <c r="B131" s="77"/>
      <c r="C131" s="77"/>
      <c r="D131" s="77"/>
      <c r="E131" s="147"/>
      <c r="F131" s="77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7"/>
      <c r="B132" s="77"/>
      <c r="C132" s="77"/>
      <c r="D132" s="77"/>
      <c r="E132" s="147"/>
      <c r="F132" s="77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7"/>
      <c r="B133" s="77"/>
      <c r="C133" s="77"/>
      <c r="D133" s="77"/>
      <c r="E133" s="147"/>
      <c r="F133" s="77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7"/>
      <c r="B134" s="77"/>
      <c r="C134" s="77"/>
      <c r="D134" s="77"/>
      <c r="E134" s="147"/>
      <c r="F134" s="77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7"/>
      <c r="B135" s="77"/>
      <c r="C135" s="77"/>
      <c r="D135" s="77"/>
      <c r="E135" s="147"/>
      <c r="F135" s="77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7"/>
      <c r="B136" s="77"/>
      <c r="C136" s="77"/>
      <c r="D136" s="77"/>
      <c r="E136" s="147"/>
      <c r="F136" s="77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7"/>
      <c r="B137" s="77"/>
      <c r="C137" s="77"/>
      <c r="D137" s="77"/>
      <c r="E137" s="147"/>
      <c r="F137" s="77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7"/>
      <c r="B138" s="77"/>
      <c r="C138" s="77"/>
      <c r="D138" s="77"/>
      <c r="E138" s="147"/>
      <c r="F138" s="77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7"/>
      <c r="B139" s="77"/>
      <c r="C139" s="77"/>
      <c r="D139" s="77"/>
      <c r="E139" s="147"/>
      <c r="F139" s="77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7"/>
      <c r="B140" s="77"/>
      <c r="C140" s="77"/>
      <c r="D140" s="77"/>
      <c r="E140" s="147"/>
      <c r="F140" s="77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7"/>
      <c r="B141" s="77"/>
      <c r="C141" s="77"/>
      <c r="D141" s="77"/>
      <c r="E141" s="147"/>
      <c r="F141" s="77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7"/>
      <c r="B142" s="77"/>
      <c r="C142" s="77"/>
      <c r="D142" s="77"/>
      <c r="E142" s="147"/>
      <c r="F142" s="77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7"/>
      <c r="B143" s="77"/>
      <c r="C143" s="77"/>
      <c r="D143" s="77"/>
      <c r="E143" s="147"/>
      <c r="F143" s="77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7"/>
      <c r="B144" s="77"/>
      <c r="C144" s="77"/>
      <c r="D144" s="77"/>
      <c r="E144" s="147"/>
      <c r="F144" s="77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7"/>
      <c r="B145" s="77"/>
      <c r="C145" s="77"/>
      <c r="D145" s="77"/>
      <c r="E145" s="147"/>
      <c r="F145" s="77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7"/>
      <c r="B146" s="77"/>
      <c r="C146" s="77"/>
      <c r="D146" s="77"/>
      <c r="E146" s="147"/>
      <c r="F146" s="77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7"/>
      <c r="B147" s="77"/>
      <c r="C147" s="77"/>
      <c r="D147" s="77"/>
      <c r="E147" s="147"/>
      <c r="F147" s="77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7"/>
      <c r="B148" s="77"/>
      <c r="C148" s="77"/>
      <c r="D148" s="77"/>
      <c r="E148" s="147"/>
      <c r="F148" s="77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7"/>
      <c r="B149" s="77"/>
      <c r="C149" s="77"/>
      <c r="D149" s="77"/>
      <c r="E149" s="147"/>
      <c r="F149" s="77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7"/>
      <c r="B150" s="77"/>
      <c r="C150" s="77"/>
      <c r="D150" s="77"/>
      <c r="E150" s="147"/>
      <c r="F150" s="77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7"/>
      <c r="B151" s="77"/>
      <c r="C151" s="77"/>
      <c r="D151" s="77"/>
      <c r="E151" s="147"/>
      <c r="F151" s="77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7"/>
      <c r="B152" s="77"/>
      <c r="C152" s="77"/>
      <c r="D152" s="77"/>
      <c r="E152" s="147"/>
      <c r="F152" s="77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7"/>
      <c r="B153" s="77"/>
      <c r="C153" s="77"/>
      <c r="D153" s="77"/>
      <c r="E153" s="147"/>
      <c r="F153" s="77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7"/>
      <c r="B154" s="77"/>
      <c r="C154" s="77"/>
      <c r="D154" s="77"/>
      <c r="E154" s="147"/>
      <c r="F154" s="77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7"/>
      <c r="B155" s="77"/>
      <c r="C155" s="77"/>
      <c r="D155" s="77"/>
      <c r="E155" s="147"/>
      <c r="F155" s="77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7"/>
      <c r="B156" s="77"/>
      <c r="C156" s="77"/>
      <c r="D156" s="77"/>
      <c r="E156" s="147"/>
      <c r="F156" s="77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7"/>
      <c r="B157" s="77"/>
      <c r="C157" s="77"/>
      <c r="D157" s="77"/>
      <c r="E157" s="147"/>
      <c r="F157" s="77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7"/>
      <c r="B158" s="77"/>
      <c r="C158" s="77"/>
      <c r="D158" s="77"/>
      <c r="E158" s="147"/>
      <c r="F158" s="77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7"/>
      <c r="B159" s="77"/>
      <c r="C159" s="77"/>
      <c r="D159" s="77"/>
      <c r="E159" s="147"/>
      <c r="F159" s="77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7"/>
      <c r="B160" s="77"/>
      <c r="C160" s="77"/>
      <c r="D160" s="77"/>
      <c r="E160" s="147"/>
      <c r="F160" s="77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7"/>
      <c r="B161" s="77"/>
      <c r="C161" s="77"/>
      <c r="D161" s="77"/>
      <c r="E161" s="147"/>
      <c r="F161" s="77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7"/>
      <c r="B162" s="77"/>
      <c r="C162" s="77"/>
      <c r="D162" s="77"/>
      <c r="E162" s="147"/>
      <c r="F162" s="77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7"/>
      <c r="B163" s="77"/>
      <c r="C163" s="77"/>
      <c r="D163" s="77"/>
      <c r="E163" s="147"/>
      <c r="F163" s="77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7"/>
      <c r="B164" s="77"/>
      <c r="C164" s="77"/>
      <c r="D164" s="77"/>
      <c r="E164" s="147"/>
      <c r="F164" s="77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7"/>
      <c r="B165" s="77"/>
      <c r="C165" s="77"/>
      <c r="D165" s="77"/>
      <c r="E165" s="147"/>
      <c r="F165" s="77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7"/>
      <c r="B166" s="77"/>
      <c r="C166" s="77"/>
      <c r="D166" s="77"/>
      <c r="E166" s="147"/>
      <c r="F166" s="77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7"/>
      <c r="B167" s="77"/>
      <c r="C167" s="77"/>
      <c r="D167" s="77"/>
      <c r="E167" s="147"/>
      <c r="F167" s="77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7"/>
      <c r="B168" s="77"/>
      <c r="C168" s="77"/>
      <c r="D168" s="77"/>
      <c r="E168" s="147"/>
      <c r="F168" s="77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7"/>
      <c r="B169" s="77"/>
      <c r="C169" s="77"/>
      <c r="D169" s="77"/>
      <c r="E169" s="147"/>
      <c r="F169" s="77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7"/>
      <c r="B170" s="77"/>
      <c r="C170" s="77"/>
      <c r="D170" s="77"/>
      <c r="E170" s="147"/>
      <c r="F170" s="77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7"/>
      <c r="B171" s="77"/>
      <c r="C171" s="77"/>
      <c r="D171" s="77"/>
      <c r="E171" s="147"/>
      <c r="F171" s="77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7"/>
      <c r="B172" s="77"/>
      <c r="C172" s="77"/>
      <c r="D172" s="77"/>
      <c r="E172" s="147"/>
      <c r="F172" s="77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7"/>
      <c r="B173" s="77"/>
      <c r="C173" s="77"/>
      <c r="D173" s="77"/>
      <c r="E173" s="147"/>
      <c r="F173" s="77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7"/>
      <c r="B174" s="77"/>
      <c r="C174" s="77"/>
      <c r="D174" s="77"/>
      <c r="E174" s="147"/>
      <c r="F174" s="77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7"/>
      <c r="B175" s="77"/>
      <c r="C175" s="77"/>
      <c r="D175" s="77"/>
      <c r="E175" s="147"/>
      <c r="F175" s="77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7"/>
      <c r="B176" s="77"/>
      <c r="C176" s="77"/>
      <c r="D176" s="77"/>
      <c r="E176" s="147"/>
      <c r="F176" s="77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7"/>
      <c r="B177" s="77"/>
      <c r="C177" s="77"/>
      <c r="D177" s="77"/>
      <c r="E177" s="147"/>
      <c r="F177" s="77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7"/>
      <c r="B178" s="77"/>
      <c r="C178" s="77"/>
      <c r="D178" s="77"/>
      <c r="E178" s="147"/>
      <c r="F178" s="77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7"/>
      <c r="B179" s="77"/>
      <c r="C179" s="77"/>
      <c r="D179" s="77"/>
      <c r="E179" s="147"/>
      <c r="F179" s="77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7"/>
      <c r="B180" s="77"/>
      <c r="C180" s="77"/>
      <c r="D180" s="77"/>
      <c r="E180" s="147"/>
      <c r="F180" s="77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7"/>
      <c r="B181" s="77"/>
      <c r="C181" s="77"/>
      <c r="D181" s="77"/>
      <c r="E181" s="147"/>
      <c r="F181" s="77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7"/>
      <c r="B182" s="77"/>
      <c r="C182" s="77"/>
      <c r="D182" s="77"/>
      <c r="E182" s="147"/>
      <c r="F182" s="77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7"/>
      <c r="B183" s="77"/>
      <c r="C183" s="77"/>
      <c r="D183" s="77"/>
      <c r="E183" s="147"/>
      <c r="F183" s="77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7"/>
      <c r="B184" s="77"/>
      <c r="C184" s="77"/>
      <c r="D184" s="77"/>
      <c r="E184" s="147"/>
      <c r="F184" s="77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7"/>
      <c r="B185" s="77"/>
      <c r="C185" s="77"/>
      <c r="D185" s="77"/>
      <c r="E185" s="147"/>
      <c r="F185" s="77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7"/>
      <c r="B186" s="77"/>
      <c r="C186" s="77"/>
      <c r="D186" s="77"/>
      <c r="E186" s="147"/>
      <c r="F186" s="77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7"/>
      <c r="B187" s="77"/>
      <c r="C187" s="77"/>
      <c r="D187" s="77"/>
      <c r="E187" s="147"/>
      <c r="F187" s="77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7"/>
      <c r="B188" s="77"/>
      <c r="C188" s="77"/>
      <c r="D188" s="77"/>
      <c r="E188" s="147"/>
      <c r="F188" s="77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7"/>
      <c r="B189" s="77"/>
      <c r="C189" s="77"/>
      <c r="D189" s="77"/>
      <c r="E189" s="147"/>
      <c r="F189" s="77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7"/>
      <c r="B190" s="77"/>
      <c r="C190" s="77"/>
      <c r="D190" s="77"/>
      <c r="E190" s="147"/>
      <c r="F190" s="77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7"/>
      <c r="B191" s="77"/>
      <c r="C191" s="77"/>
      <c r="D191" s="77"/>
      <c r="E191" s="147"/>
      <c r="F191" s="77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7"/>
      <c r="B192" s="77"/>
      <c r="C192" s="77"/>
      <c r="D192" s="77"/>
      <c r="E192" s="147"/>
      <c r="F192" s="77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7"/>
      <c r="B193" s="77"/>
      <c r="C193" s="77"/>
      <c r="D193" s="77"/>
      <c r="E193" s="147"/>
      <c r="F193" s="77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7"/>
      <c r="B194" s="77"/>
      <c r="C194" s="77"/>
      <c r="D194" s="77"/>
      <c r="E194" s="147"/>
      <c r="F194" s="77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7"/>
      <c r="B195" s="77"/>
      <c r="C195" s="77"/>
      <c r="D195" s="77"/>
      <c r="E195" s="147"/>
      <c r="F195" s="77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7"/>
      <c r="B196" s="77"/>
      <c r="C196" s="77"/>
      <c r="D196" s="77"/>
      <c r="E196" s="147"/>
      <c r="F196" s="77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7"/>
      <c r="B197" s="77"/>
      <c r="C197" s="77"/>
      <c r="D197" s="77"/>
      <c r="E197" s="147"/>
      <c r="F197" s="77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7"/>
      <c r="B198" s="77"/>
      <c r="C198" s="77"/>
      <c r="D198" s="77"/>
      <c r="E198" s="147"/>
      <c r="F198" s="77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7"/>
      <c r="B199" s="77"/>
      <c r="C199" s="77"/>
      <c r="D199" s="77"/>
      <c r="E199" s="147"/>
      <c r="F199" s="77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7"/>
      <c r="B200" s="77"/>
      <c r="C200" s="77"/>
      <c r="D200" s="77"/>
      <c r="E200" s="147"/>
      <c r="F200" s="77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7"/>
      <c r="B201" s="77"/>
      <c r="C201" s="77"/>
      <c r="D201" s="77"/>
      <c r="E201" s="147"/>
      <c r="F201" s="77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7"/>
      <c r="B202" s="77"/>
      <c r="C202" s="77"/>
      <c r="D202" s="77"/>
      <c r="E202" s="147"/>
      <c r="F202" s="77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7"/>
      <c r="B203" s="77"/>
      <c r="C203" s="77"/>
      <c r="D203" s="77"/>
      <c r="E203" s="147"/>
      <c r="F203" s="77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7"/>
      <c r="B204" s="77"/>
      <c r="C204" s="77"/>
      <c r="D204" s="77"/>
      <c r="E204" s="147"/>
      <c r="F204" s="77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7"/>
      <c r="B205" s="77"/>
      <c r="C205" s="77"/>
      <c r="D205" s="77"/>
      <c r="E205" s="147"/>
      <c r="F205" s="77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7"/>
      <c r="B206" s="77"/>
      <c r="C206" s="77"/>
      <c r="D206" s="77"/>
      <c r="E206" s="147"/>
      <c r="F206" s="77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7"/>
      <c r="B207" s="77"/>
      <c r="C207" s="77"/>
      <c r="D207" s="77"/>
      <c r="E207" s="147"/>
      <c r="F207" s="77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7"/>
      <c r="B208" s="77"/>
      <c r="C208" s="77"/>
      <c r="D208" s="77"/>
      <c r="E208" s="147"/>
      <c r="F208" s="77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7"/>
      <c r="B209" s="77"/>
      <c r="C209" s="77"/>
      <c r="D209" s="77"/>
      <c r="E209" s="147"/>
      <c r="F209" s="77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7"/>
      <c r="B210" s="77"/>
      <c r="C210" s="77"/>
      <c r="D210" s="77"/>
      <c r="E210" s="147"/>
      <c r="F210" s="77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7"/>
      <c r="B211" s="77"/>
      <c r="C211" s="77"/>
      <c r="D211" s="77"/>
      <c r="E211" s="147"/>
      <c r="F211" s="77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7"/>
      <c r="B212" s="77"/>
      <c r="C212" s="77"/>
      <c r="D212" s="77"/>
      <c r="E212" s="147"/>
      <c r="F212" s="77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7"/>
      <c r="B213" s="77"/>
      <c r="C213" s="77"/>
      <c r="D213" s="77"/>
      <c r="E213" s="147"/>
      <c r="F213" s="77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7"/>
      <c r="B214" s="77"/>
      <c r="C214" s="77"/>
      <c r="D214" s="77"/>
      <c r="E214" s="147"/>
      <c r="F214" s="77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7"/>
      <c r="B215" s="77"/>
      <c r="C215" s="77"/>
      <c r="D215" s="77"/>
      <c r="E215" s="147"/>
      <c r="F215" s="77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7"/>
      <c r="B216" s="77"/>
      <c r="C216" s="77"/>
      <c r="D216" s="77"/>
      <c r="E216" s="147"/>
      <c r="F216" s="77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7"/>
      <c r="B217" s="77"/>
      <c r="C217" s="77"/>
      <c r="D217" s="77"/>
      <c r="E217" s="147"/>
      <c r="F217" s="77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7"/>
      <c r="B218" s="77"/>
      <c r="C218" s="77"/>
      <c r="D218" s="77"/>
      <c r="E218" s="147"/>
      <c r="F218" s="77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7"/>
      <c r="B219" s="77"/>
      <c r="C219" s="77"/>
      <c r="D219" s="77"/>
      <c r="E219" s="147"/>
      <c r="F219" s="77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7"/>
      <c r="B220" s="77"/>
      <c r="C220" s="77"/>
      <c r="D220" s="77"/>
      <c r="E220" s="147"/>
      <c r="F220" s="77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7"/>
      <c r="B221" s="77"/>
      <c r="C221" s="77"/>
      <c r="D221" s="77"/>
      <c r="E221" s="147"/>
      <c r="F221" s="77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7"/>
      <c r="B222" s="77"/>
      <c r="C222" s="77"/>
      <c r="D222" s="77"/>
      <c r="E222" s="147"/>
      <c r="F222" s="77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7"/>
      <c r="B223" s="77"/>
      <c r="C223" s="77"/>
      <c r="D223" s="77"/>
      <c r="E223" s="147"/>
      <c r="F223" s="77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7"/>
      <c r="B224" s="77"/>
      <c r="C224" s="77"/>
      <c r="D224" s="77"/>
      <c r="E224" s="147"/>
      <c r="F224" s="77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7"/>
      <c r="B225" s="77"/>
      <c r="C225" s="77"/>
      <c r="D225" s="77"/>
      <c r="E225" s="147"/>
      <c r="F225" s="77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7"/>
      <c r="B226" s="77"/>
      <c r="C226" s="77"/>
      <c r="D226" s="77"/>
      <c r="E226" s="147"/>
      <c r="F226" s="77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7"/>
      <c r="B227" s="77"/>
      <c r="C227" s="77"/>
      <c r="D227" s="77"/>
      <c r="E227" s="147"/>
      <c r="F227" s="77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7"/>
      <c r="B228" s="77"/>
      <c r="C228" s="77"/>
      <c r="D228" s="77"/>
      <c r="E228" s="147"/>
      <c r="F228" s="77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7"/>
      <c r="B229" s="77"/>
      <c r="C229" s="77"/>
      <c r="D229" s="77"/>
      <c r="E229" s="147"/>
      <c r="F229" s="77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7"/>
      <c r="B230" s="77"/>
      <c r="C230" s="77"/>
      <c r="D230" s="77"/>
      <c r="E230" s="147"/>
      <c r="F230" s="77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7"/>
      <c r="B231" s="77"/>
      <c r="C231" s="77"/>
      <c r="D231" s="77"/>
      <c r="E231" s="147"/>
      <c r="F231" s="77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7"/>
      <c r="B232" s="77"/>
      <c r="C232" s="77"/>
      <c r="D232" s="77"/>
      <c r="E232" s="147"/>
      <c r="F232" s="77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7"/>
      <c r="B233" s="77"/>
      <c r="C233" s="77"/>
      <c r="D233" s="77"/>
      <c r="E233" s="147"/>
      <c r="F233" s="77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7"/>
      <c r="B234" s="77"/>
      <c r="C234" s="77"/>
      <c r="D234" s="77"/>
      <c r="E234" s="147"/>
      <c r="F234" s="77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7"/>
      <c r="B235" s="77"/>
      <c r="C235" s="77"/>
      <c r="D235" s="77"/>
      <c r="E235" s="147"/>
      <c r="F235" s="77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7"/>
      <c r="B236" s="77"/>
      <c r="C236" s="77"/>
      <c r="D236" s="77"/>
      <c r="E236" s="147"/>
      <c r="F236" s="77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7"/>
      <c r="B237" s="77"/>
      <c r="C237" s="77"/>
      <c r="D237" s="77"/>
      <c r="E237" s="147"/>
      <c r="F237" s="77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7"/>
      <c r="B238" s="77"/>
      <c r="C238" s="77"/>
      <c r="D238" s="77"/>
      <c r="E238" s="147"/>
      <c r="F238" s="77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7"/>
      <c r="B239" s="77"/>
      <c r="C239" s="77"/>
      <c r="D239" s="77"/>
      <c r="E239" s="147"/>
      <c r="F239" s="77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7"/>
      <c r="B240" s="77"/>
      <c r="C240" s="77"/>
      <c r="D240" s="77"/>
      <c r="E240" s="147"/>
      <c r="F240" s="77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7"/>
      <c r="B241" s="77"/>
      <c r="C241" s="77"/>
      <c r="D241" s="77"/>
      <c r="E241" s="147"/>
      <c r="F241" s="77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7"/>
      <c r="B242" s="77"/>
      <c r="C242" s="77"/>
      <c r="D242" s="77"/>
      <c r="E242" s="147"/>
      <c r="F242" s="77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7"/>
      <c r="B243" s="77"/>
      <c r="C243" s="77"/>
      <c r="D243" s="77"/>
      <c r="E243" s="147"/>
      <c r="F243" s="77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7"/>
      <c r="B244" s="77"/>
      <c r="C244" s="77"/>
      <c r="D244" s="77"/>
      <c r="E244" s="147"/>
      <c r="F244" s="77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7"/>
      <c r="B245" s="77"/>
      <c r="C245" s="77"/>
      <c r="D245" s="77"/>
      <c r="E245" s="147"/>
      <c r="F245" s="77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7"/>
      <c r="B246" s="77"/>
      <c r="C246" s="77"/>
      <c r="D246" s="77"/>
      <c r="E246" s="147"/>
      <c r="F246" s="77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7"/>
      <c r="B247" s="77"/>
      <c r="C247" s="77"/>
      <c r="D247" s="77"/>
      <c r="E247" s="147"/>
      <c r="F247" s="77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7"/>
      <c r="B248" s="77"/>
      <c r="C248" s="77"/>
      <c r="D248" s="77"/>
      <c r="E248" s="147"/>
      <c r="F248" s="77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7"/>
      <c r="B249" s="77"/>
      <c r="C249" s="77"/>
      <c r="D249" s="77"/>
      <c r="E249" s="147"/>
      <c r="F249" s="77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7"/>
      <c r="B250" s="77"/>
      <c r="C250" s="77"/>
      <c r="D250" s="77"/>
      <c r="E250" s="147"/>
      <c r="F250" s="77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7"/>
      <c r="B251" s="77"/>
      <c r="C251" s="77"/>
      <c r="D251" s="77"/>
      <c r="E251" s="147"/>
      <c r="F251" s="77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7"/>
      <c r="B252" s="77"/>
      <c r="C252" s="77"/>
      <c r="D252" s="77"/>
      <c r="E252" s="147"/>
      <c r="F252" s="77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7"/>
      <c r="B253" s="77"/>
      <c r="C253" s="77"/>
      <c r="D253" s="77"/>
      <c r="E253" s="147"/>
      <c r="F253" s="77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7"/>
      <c r="B254" s="77"/>
      <c r="C254" s="77"/>
      <c r="D254" s="77"/>
      <c r="E254" s="147"/>
      <c r="F254" s="77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7"/>
      <c r="B255" s="77"/>
      <c r="C255" s="77"/>
      <c r="D255" s="77"/>
      <c r="E255" s="147"/>
      <c r="F255" s="77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7"/>
      <c r="B256" s="77"/>
      <c r="C256" s="77"/>
      <c r="D256" s="77"/>
      <c r="E256" s="147"/>
      <c r="F256" s="77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7"/>
      <c r="B257" s="77"/>
      <c r="C257" s="77"/>
      <c r="D257" s="77"/>
      <c r="E257" s="147"/>
      <c r="F257" s="77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7"/>
      <c r="B258" s="77"/>
      <c r="C258" s="77"/>
      <c r="D258" s="77"/>
      <c r="E258" s="147"/>
      <c r="F258" s="77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7"/>
      <c r="B259" s="77"/>
      <c r="C259" s="77"/>
      <c r="D259" s="77"/>
      <c r="E259" s="147"/>
      <c r="F259" s="77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7"/>
      <c r="B260" s="77"/>
      <c r="C260" s="77"/>
      <c r="D260" s="77"/>
      <c r="E260" s="147"/>
      <c r="F260" s="77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7"/>
      <c r="B261" s="77"/>
      <c r="C261" s="77"/>
      <c r="D261" s="77"/>
      <c r="E261" s="147"/>
      <c r="F261" s="77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7"/>
      <c r="B262" s="77"/>
      <c r="C262" s="77"/>
      <c r="D262" s="77"/>
      <c r="E262" s="147"/>
      <c r="F262" s="77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7"/>
      <c r="B263" s="77"/>
      <c r="C263" s="77"/>
      <c r="D263" s="77"/>
      <c r="E263" s="147"/>
      <c r="F263" s="77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7"/>
      <c r="B264" s="77"/>
      <c r="C264" s="77"/>
      <c r="D264" s="77"/>
      <c r="E264" s="147"/>
      <c r="F264" s="77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7"/>
      <c r="B265" s="77"/>
      <c r="C265" s="77"/>
      <c r="D265" s="77"/>
      <c r="E265" s="147"/>
      <c r="F265" s="77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</sheetData>
  <mergeCells count="15">
    <mergeCell ref="A49:Z49"/>
    <mergeCell ref="B50:D50"/>
    <mergeCell ref="A64:Z64"/>
    <mergeCell ref="A66:G66"/>
    <mergeCell ref="A67:G67"/>
    <mergeCell ref="A68:G68"/>
    <mergeCell ref="A69:G69"/>
    <mergeCell ref="A70:G70"/>
    <mergeCell ref="A1:E1"/>
    <mergeCell ref="A2:D2"/>
    <mergeCell ref="B5:D5"/>
    <mergeCell ref="A23:Z23"/>
    <mergeCell ref="A24:Z24"/>
    <mergeCell ref="B25:D25"/>
    <mergeCell ref="A48:Z48"/>
  </mergeCells>
  <hyperlinks>
    <hyperlink r:id="rId1" ref="B7"/>
    <hyperlink r:id="rId2" ref="B8"/>
    <hyperlink r:id="rId3" ref="B10"/>
    <hyperlink display="Barbell Back Squat TEST" location="TESTS!A1" ref="B14"/>
    <hyperlink r:id="rId4" ref="B15"/>
    <hyperlink r:id="rId5" ref="B16"/>
    <hyperlink r:id="rId6" ref="B17"/>
    <hyperlink r:id="rId7" ref="B18"/>
    <hyperlink r:id="rId8" ref="B19"/>
    <hyperlink r:id="rId9" ref="B27"/>
    <hyperlink r:id="rId10" ref="B28"/>
    <hyperlink r:id="rId11" ref="B29"/>
    <hyperlink r:id="rId12" ref="B30"/>
    <hyperlink r:id="rId13" ref="B34"/>
    <hyperlink r:id="rId14" ref="B35"/>
    <hyperlink r:id="rId15" ref="B36"/>
    <hyperlink r:id="rId16" ref="B37"/>
    <hyperlink r:id="rId17" ref="B40"/>
    <hyperlink r:id="rId18" ref="B41"/>
    <hyperlink r:id="rId19" ref="B42"/>
    <hyperlink r:id="rId20" ref="B43"/>
    <hyperlink r:id="rId21" ref="B51"/>
    <hyperlink r:id="rId22" ref="B52"/>
    <hyperlink display="Hip Thrust TEST" location="TESTS!A1" ref="B56"/>
    <hyperlink r:id="rId23" ref="B57"/>
    <hyperlink r:id="rId24" ref="B58"/>
    <hyperlink r:id="rId25" ref="B59"/>
    <hyperlink r:id="rId26" ref="B60"/>
  </hyperlinks>
  <drawing r:id="rId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15.75"/>
    <col customWidth="1" min="3" max="3" width="4.38"/>
    <col customWidth="1" min="4" max="4" width="19.25"/>
    <col customWidth="1" min="5" max="5" width="15.75"/>
    <col customWidth="1" min="6" max="26" width="7.63"/>
  </cols>
  <sheetData>
    <row r="1" ht="36.0" customHeight="1">
      <c r="A1" s="149" t="s">
        <v>196</v>
      </c>
      <c r="B1" s="4"/>
      <c r="C1" s="4"/>
      <c r="D1" s="4"/>
      <c r="E1" s="6"/>
    </row>
    <row r="2" ht="21.75" customHeight="1">
      <c r="A2" s="150" t="s">
        <v>197</v>
      </c>
      <c r="B2" s="4"/>
      <c r="C2" s="4"/>
      <c r="D2" s="4"/>
      <c r="E2" s="6"/>
    </row>
    <row r="3" ht="7.5" customHeight="1"/>
    <row r="4" ht="21.75" customHeight="1">
      <c r="A4" s="151" t="s">
        <v>198</v>
      </c>
      <c r="B4" s="6"/>
      <c r="C4" s="152"/>
      <c r="D4" s="151" t="s">
        <v>199</v>
      </c>
      <c r="E4" s="6"/>
    </row>
    <row r="5" ht="19.5" customHeight="1">
      <c r="A5" s="153" t="s">
        <v>200</v>
      </c>
      <c r="B5" s="153" t="s">
        <v>201</v>
      </c>
      <c r="C5" s="152"/>
      <c r="D5" s="153" t="s">
        <v>201</v>
      </c>
      <c r="E5" s="153" t="s">
        <v>200</v>
      </c>
    </row>
    <row r="6" ht="19.5" customHeight="1">
      <c r="A6" s="154" t="s">
        <v>202</v>
      </c>
      <c r="B6" s="155" t="s">
        <v>203</v>
      </c>
      <c r="C6" s="152"/>
      <c r="D6" s="154" t="s">
        <v>204</v>
      </c>
      <c r="E6" s="155" t="s">
        <v>205</v>
      </c>
    </row>
    <row r="7" ht="19.5" customHeight="1">
      <c r="A7" s="156" t="s">
        <v>206</v>
      </c>
      <c r="B7" s="157" t="s">
        <v>207</v>
      </c>
      <c r="C7" s="152"/>
      <c r="D7" s="156" t="s">
        <v>208</v>
      </c>
      <c r="E7" s="157" t="s">
        <v>209</v>
      </c>
    </row>
    <row r="8" ht="19.5" customHeight="1">
      <c r="A8" s="154" t="s">
        <v>210</v>
      </c>
      <c r="B8" s="155" t="s">
        <v>211</v>
      </c>
      <c r="C8" s="152"/>
      <c r="D8" s="154" t="s">
        <v>212</v>
      </c>
      <c r="E8" s="155" t="s">
        <v>213</v>
      </c>
    </row>
    <row r="9" ht="19.5" customHeight="1">
      <c r="A9" s="156" t="s">
        <v>214</v>
      </c>
      <c r="B9" s="157" t="s">
        <v>215</v>
      </c>
      <c r="C9" s="152"/>
      <c r="D9" s="156" t="s">
        <v>216</v>
      </c>
      <c r="E9" s="157" t="s">
        <v>217</v>
      </c>
    </row>
    <row r="10" ht="19.5" customHeight="1">
      <c r="A10" s="154" t="s">
        <v>218</v>
      </c>
      <c r="B10" s="155" t="s">
        <v>219</v>
      </c>
      <c r="C10" s="152"/>
      <c r="D10" s="154" t="s">
        <v>220</v>
      </c>
      <c r="E10" s="155" t="s">
        <v>221</v>
      </c>
    </row>
    <row r="11" ht="19.5" customHeight="1">
      <c r="A11" s="156" t="s">
        <v>186</v>
      </c>
      <c r="B11" s="157" t="s">
        <v>222</v>
      </c>
      <c r="C11" s="152"/>
      <c r="D11" s="156" t="s">
        <v>223</v>
      </c>
      <c r="E11" s="157" t="s">
        <v>224</v>
      </c>
    </row>
    <row r="12" ht="19.5" customHeight="1">
      <c r="A12" s="154" t="s">
        <v>225</v>
      </c>
      <c r="B12" s="155" t="s">
        <v>226</v>
      </c>
      <c r="C12" s="152"/>
      <c r="D12" s="154" t="s">
        <v>227</v>
      </c>
      <c r="E12" s="155" t="s">
        <v>228</v>
      </c>
    </row>
    <row r="13" ht="19.5" customHeight="1">
      <c r="A13" s="156" t="s">
        <v>229</v>
      </c>
      <c r="B13" s="157" t="s">
        <v>230</v>
      </c>
      <c r="C13" s="152"/>
      <c r="D13" s="156" t="s">
        <v>231</v>
      </c>
      <c r="E13" s="157" t="s">
        <v>232</v>
      </c>
    </row>
    <row r="14" ht="19.5" customHeight="1">
      <c r="A14" s="154" t="s">
        <v>233</v>
      </c>
      <c r="B14" s="155" t="s">
        <v>234</v>
      </c>
      <c r="C14" s="152"/>
      <c r="D14" s="154" t="s">
        <v>235</v>
      </c>
      <c r="E14" s="155" t="s">
        <v>236</v>
      </c>
    </row>
    <row r="15" ht="19.5" customHeight="1">
      <c r="A15" s="156" t="s">
        <v>237</v>
      </c>
      <c r="B15" s="157" t="s">
        <v>238</v>
      </c>
      <c r="C15" s="152"/>
      <c r="D15" s="156" t="s">
        <v>239</v>
      </c>
      <c r="E15" s="157" t="s">
        <v>240</v>
      </c>
    </row>
    <row r="16" ht="19.5" customHeight="1">
      <c r="A16" s="154" t="s">
        <v>241</v>
      </c>
      <c r="B16" s="155" t="s">
        <v>242</v>
      </c>
      <c r="C16" s="152"/>
      <c r="D16" s="154" t="s">
        <v>243</v>
      </c>
      <c r="E16" s="155" t="s">
        <v>244</v>
      </c>
    </row>
    <row r="17" ht="19.5" customHeight="1">
      <c r="A17" s="156" t="s">
        <v>245</v>
      </c>
      <c r="B17" s="157" t="s">
        <v>246</v>
      </c>
      <c r="C17" s="152"/>
      <c r="D17" s="156" t="s">
        <v>247</v>
      </c>
      <c r="E17" s="157" t="s">
        <v>248</v>
      </c>
    </row>
    <row r="18" ht="19.5" customHeight="1">
      <c r="A18" s="154" t="s">
        <v>249</v>
      </c>
      <c r="B18" s="155" t="s">
        <v>250</v>
      </c>
      <c r="C18" s="152"/>
      <c r="D18" s="154" t="s">
        <v>251</v>
      </c>
      <c r="E18" s="155" t="s">
        <v>252</v>
      </c>
    </row>
    <row r="19" ht="19.5" customHeight="1">
      <c r="A19" s="156" t="s">
        <v>143</v>
      </c>
      <c r="B19" s="157" t="s">
        <v>253</v>
      </c>
      <c r="C19" s="152"/>
      <c r="D19" s="156" t="s">
        <v>254</v>
      </c>
      <c r="E19" s="157" t="s">
        <v>255</v>
      </c>
    </row>
    <row r="20" ht="19.5" customHeight="1">
      <c r="A20" s="154" t="s">
        <v>256</v>
      </c>
      <c r="B20" s="155" t="s">
        <v>257</v>
      </c>
      <c r="C20" s="152"/>
      <c r="D20" s="154" t="s">
        <v>258</v>
      </c>
      <c r="E20" s="155" t="s">
        <v>259</v>
      </c>
    </row>
    <row r="21" ht="19.5" customHeight="1">
      <c r="A21" s="156" t="s">
        <v>260</v>
      </c>
      <c r="B21" s="157" t="s">
        <v>261</v>
      </c>
      <c r="C21" s="152"/>
      <c r="D21" s="156" t="s">
        <v>262</v>
      </c>
      <c r="E21" s="157" t="s">
        <v>263</v>
      </c>
    </row>
    <row r="22" ht="19.5" customHeight="1">
      <c r="A22" s="154" t="s">
        <v>264</v>
      </c>
      <c r="B22" s="155" t="s">
        <v>265</v>
      </c>
      <c r="C22" s="152"/>
      <c r="D22" s="154" t="s">
        <v>266</v>
      </c>
      <c r="E22" s="155" t="s">
        <v>267</v>
      </c>
    </row>
    <row r="23" ht="19.5" customHeight="1">
      <c r="A23" s="156" t="s">
        <v>268</v>
      </c>
      <c r="B23" s="157" t="s">
        <v>269</v>
      </c>
      <c r="C23" s="152"/>
      <c r="D23" s="156" t="s">
        <v>270</v>
      </c>
      <c r="E23" s="157" t="s">
        <v>271</v>
      </c>
    </row>
    <row r="24" ht="19.5" customHeight="1">
      <c r="A24" s="154" t="s">
        <v>272</v>
      </c>
      <c r="B24" s="155" t="s">
        <v>273</v>
      </c>
      <c r="C24" s="152"/>
      <c r="D24" s="154" t="s">
        <v>274</v>
      </c>
      <c r="E24" s="155" t="s">
        <v>275</v>
      </c>
    </row>
    <row r="25" ht="19.5" customHeight="1">
      <c r="A25" s="156" t="s">
        <v>276</v>
      </c>
      <c r="B25" s="157" t="s">
        <v>277</v>
      </c>
      <c r="C25" s="152"/>
      <c r="D25" s="156" t="s">
        <v>278</v>
      </c>
      <c r="E25" s="157" t="s">
        <v>279</v>
      </c>
    </row>
    <row r="26" ht="19.5" customHeight="1">
      <c r="A26" s="154" t="s">
        <v>280</v>
      </c>
      <c r="B26" s="155" t="s">
        <v>281</v>
      </c>
      <c r="C26" s="152"/>
      <c r="D26" s="154" t="s">
        <v>282</v>
      </c>
      <c r="E26" s="155" t="s">
        <v>283</v>
      </c>
    </row>
    <row r="27" ht="19.5" customHeight="1">
      <c r="A27" s="156" t="s">
        <v>284</v>
      </c>
      <c r="B27" s="157" t="s">
        <v>285</v>
      </c>
      <c r="C27" s="152"/>
      <c r="D27" s="156" t="s">
        <v>286</v>
      </c>
      <c r="E27" s="157" t="s">
        <v>287</v>
      </c>
    </row>
    <row r="28" ht="19.5" customHeight="1">
      <c r="A28" s="154" t="s">
        <v>288</v>
      </c>
      <c r="B28" s="155" t="s">
        <v>289</v>
      </c>
      <c r="C28" s="152"/>
      <c r="D28" s="154" t="s">
        <v>290</v>
      </c>
      <c r="E28" s="155" t="s">
        <v>291</v>
      </c>
    </row>
    <row r="29" ht="19.5" customHeight="1">
      <c r="A29" s="156" t="s">
        <v>292</v>
      </c>
      <c r="B29" s="157" t="s">
        <v>293</v>
      </c>
      <c r="C29" s="152"/>
      <c r="D29" s="156" t="s">
        <v>294</v>
      </c>
      <c r="E29" s="157" t="s">
        <v>295</v>
      </c>
    </row>
    <row r="30" ht="19.5" customHeight="1">
      <c r="A30" s="154" t="s">
        <v>296</v>
      </c>
      <c r="B30" s="155" t="s">
        <v>297</v>
      </c>
      <c r="C30" s="152"/>
      <c r="D30" s="154" t="s">
        <v>298</v>
      </c>
      <c r="E30" s="155" t="s">
        <v>299</v>
      </c>
    </row>
    <row r="31" ht="19.5" customHeight="1">
      <c r="A31" s="156" t="s">
        <v>300</v>
      </c>
      <c r="B31" s="157" t="s">
        <v>301</v>
      </c>
      <c r="C31" s="152"/>
      <c r="D31" s="156" t="s">
        <v>302</v>
      </c>
      <c r="E31" s="157" t="s">
        <v>303</v>
      </c>
    </row>
    <row r="32" ht="19.5" customHeight="1">
      <c r="A32" s="154" t="s">
        <v>304</v>
      </c>
      <c r="B32" s="155" t="s">
        <v>305</v>
      </c>
      <c r="C32" s="152"/>
      <c r="D32" s="154" t="s">
        <v>306</v>
      </c>
      <c r="E32" s="155" t="s">
        <v>307</v>
      </c>
    </row>
    <row r="33" ht="19.5" customHeight="1">
      <c r="A33" s="156" t="s">
        <v>308</v>
      </c>
      <c r="B33" s="157" t="s">
        <v>309</v>
      </c>
      <c r="C33" s="152"/>
      <c r="D33" s="156" t="s">
        <v>310</v>
      </c>
      <c r="E33" s="157" t="s">
        <v>311</v>
      </c>
    </row>
    <row r="34" ht="19.5" customHeight="1">
      <c r="A34" s="154" t="s">
        <v>312</v>
      </c>
      <c r="B34" s="155" t="s">
        <v>313</v>
      </c>
      <c r="C34" s="152"/>
      <c r="D34" s="154" t="s">
        <v>314</v>
      </c>
      <c r="E34" s="155" t="s">
        <v>315</v>
      </c>
    </row>
    <row r="35" ht="19.5" customHeight="1">
      <c r="A35" s="156" t="s">
        <v>316</v>
      </c>
      <c r="B35" s="157" t="s">
        <v>317</v>
      </c>
      <c r="C35" s="152"/>
      <c r="D35" s="156" t="s">
        <v>318</v>
      </c>
      <c r="E35" s="157" t="s">
        <v>319</v>
      </c>
    </row>
    <row r="36" ht="19.5" customHeight="1">
      <c r="A36" s="154" t="s">
        <v>320</v>
      </c>
      <c r="B36" s="155" t="s">
        <v>321</v>
      </c>
      <c r="C36" s="152"/>
      <c r="D36" s="154" t="s">
        <v>322</v>
      </c>
      <c r="E36" s="155" t="s">
        <v>323</v>
      </c>
    </row>
    <row r="37" ht="19.5" customHeight="1">
      <c r="A37" s="156" t="s">
        <v>324</v>
      </c>
      <c r="B37" s="157" t="s">
        <v>325</v>
      </c>
      <c r="C37" s="152"/>
      <c r="D37" s="156" t="s">
        <v>326</v>
      </c>
      <c r="E37" s="157" t="s">
        <v>327</v>
      </c>
    </row>
    <row r="38" ht="19.5" customHeight="1">
      <c r="A38" s="154" t="s">
        <v>328</v>
      </c>
      <c r="B38" s="155" t="s">
        <v>329</v>
      </c>
      <c r="C38" s="152"/>
      <c r="D38" s="154" t="s">
        <v>330</v>
      </c>
      <c r="E38" s="155" t="s">
        <v>331</v>
      </c>
    </row>
    <row r="39" ht="19.5" customHeight="1">
      <c r="A39" s="156" t="s">
        <v>332</v>
      </c>
      <c r="B39" s="157" t="s">
        <v>333</v>
      </c>
      <c r="C39" s="152"/>
      <c r="D39" s="156" t="s">
        <v>334</v>
      </c>
      <c r="E39" s="157" t="s">
        <v>335</v>
      </c>
    </row>
    <row r="40" ht="19.5" customHeight="1">
      <c r="A40" s="154" t="s">
        <v>336</v>
      </c>
      <c r="B40" s="155" t="s">
        <v>337</v>
      </c>
      <c r="C40" s="152"/>
      <c r="D40" s="154" t="s">
        <v>338</v>
      </c>
      <c r="E40" s="155" t="s">
        <v>339</v>
      </c>
    </row>
    <row r="41" ht="19.5" customHeight="1">
      <c r="A41" s="156" t="s">
        <v>340</v>
      </c>
      <c r="B41" s="157" t="s">
        <v>341</v>
      </c>
      <c r="C41" s="152"/>
      <c r="D41" s="156" t="s">
        <v>342</v>
      </c>
      <c r="E41" s="157" t="s">
        <v>343</v>
      </c>
    </row>
    <row r="42" ht="19.5" customHeight="1">
      <c r="A42" s="154" t="s">
        <v>344</v>
      </c>
      <c r="B42" s="155" t="s">
        <v>345</v>
      </c>
      <c r="C42" s="152"/>
      <c r="D42" s="154" t="s">
        <v>346</v>
      </c>
      <c r="E42" s="155" t="s">
        <v>347</v>
      </c>
    </row>
    <row r="43" ht="19.5" customHeight="1">
      <c r="A43" s="156" t="s">
        <v>348</v>
      </c>
      <c r="B43" s="157" t="s">
        <v>349</v>
      </c>
      <c r="C43" s="152"/>
      <c r="D43" s="156" t="s">
        <v>350</v>
      </c>
      <c r="E43" s="157" t="s">
        <v>351</v>
      </c>
    </row>
    <row r="44" ht="19.5" customHeight="1">
      <c r="A44" s="154" t="s">
        <v>352</v>
      </c>
      <c r="B44" s="155" t="s">
        <v>353</v>
      </c>
      <c r="C44" s="152"/>
      <c r="D44" s="154" t="s">
        <v>354</v>
      </c>
      <c r="E44" s="155" t="s">
        <v>355</v>
      </c>
    </row>
    <row r="45" ht="19.5" customHeight="1">
      <c r="D45" s="156" t="s">
        <v>356</v>
      </c>
      <c r="E45" s="157" t="s">
        <v>357</v>
      </c>
    </row>
    <row r="46"/>
    <row r="47" ht="12.0" customHeight="1"/>
    <row r="48" ht="21.75" customHeight="1">
      <c r="A48" s="158" t="s">
        <v>358</v>
      </c>
      <c r="B48" s="4"/>
      <c r="C48" s="4"/>
      <c r="D48" s="4"/>
      <c r="E48" s="6"/>
    </row>
    <row r="49" ht="21.75" customHeight="1">
      <c r="A49" s="159" t="s">
        <v>359</v>
      </c>
      <c r="B49" s="160"/>
    </row>
    <row r="50" ht="21.75" customHeight="1">
      <c r="A50" s="161" t="s">
        <v>360</v>
      </c>
      <c r="B50" s="162" t="str">
        <f>IF(B49="","",ROUND(B49*2.2046,1)&amp;" lbs")</f>
        <v/>
      </c>
    </row>
    <row r="51" ht="7.5" customHeight="1"/>
    <row r="52" ht="21.75" customHeight="1">
      <c r="A52" s="159" t="s">
        <v>361</v>
      </c>
      <c r="B52" s="160"/>
    </row>
    <row r="53" ht="21.75" customHeight="1">
      <c r="A53" s="161" t="s">
        <v>362</v>
      </c>
      <c r="B53" s="162" t="str">
        <f>IF(B52="","",ROUND(B52*0.4536,2)&amp;" kg")</f>
        <v/>
      </c>
    </row>
    <row r="54"/>
    <row r="55" ht="21.75" customHeight="1">
      <c r="A55" s="163" t="s">
        <v>363</v>
      </c>
      <c r="B55" s="4"/>
      <c r="C55" s="4"/>
      <c r="D55" s="4"/>
      <c r="E55" s="6"/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E1"/>
    <mergeCell ref="A2:E2"/>
    <mergeCell ref="A4:B4"/>
    <mergeCell ref="D4:E4"/>
    <mergeCell ref="A48:E48"/>
    <mergeCell ref="A55:E55"/>
  </mergeCells>
  <printOptions/>
  <pageMargins bottom="1.0" footer="0.0" header="0.0" left="0.75" right="0.75" top="1.0"/>
  <pageSetup paperSize="9" orientation="portrait"/>
  <drawing r:id="rId1"/>
</worksheet>
</file>